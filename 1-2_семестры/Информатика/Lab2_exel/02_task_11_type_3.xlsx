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97A31CF-55CC-4E75-B11A-0AD1C2EA7BC7}" xr6:coauthVersionLast="47" xr6:coauthVersionMax="47" xr10:uidLastSave="{00000000-0000-0000-0000-000000000000}"/>
  <bookViews>
    <workbookView xWindow="4245" yWindow="4245" windowWidth="28800" windowHeight="15435" xr2:uid="{DF6EC328-CBA2-4745-AA5E-2391F887CD3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9" i="1" l="1"/>
  <c r="L20" i="1"/>
  <c r="J14" i="1"/>
  <c r="L12" i="1"/>
  <c r="I16" i="1"/>
  <c r="U27" i="1"/>
  <c r="Q27" i="1"/>
  <c r="C26" i="1"/>
  <c r="E25" i="1"/>
  <c r="G24" i="1"/>
  <c r="R20" i="1"/>
  <c r="N19" i="1"/>
  <c r="L19" i="1"/>
  <c r="J19" i="1"/>
  <c r="F19" i="1"/>
  <c r="D19" i="1"/>
  <c r="A19" i="1"/>
  <c r="J12" i="1"/>
  <c r="H12" i="1"/>
  <c r="F12" i="1"/>
  <c r="N13" i="1" l="1"/>
  <c r="I26" i="1" l="1"/>
  <c r="K26" i="1" s="1"/>
  <c r="A25" i="1"/>
  <c r="C16" i="1"/>
  <c r="G26" i="1"/>
  <c r="A24" i="1"/>
  <c r="H14" i="1"/>
  <c r="B23" i="1"/>
</calcChain>
</file>

<file path=xl/sharedStrings.xml><?xml version="1.0" encoding="utf-8"?>
<sst xmlns="http://schemas.openxmlformats.org/spreadsheetml/2006/main" count="61" uniqueCount="43">
  <si>
    <t>латинские буквы (с учётом регистра) и символы из</t>
  </si>
  <si>
    <t>серийных номеров отведено не более</t>
  </si>
  <si>
    <t>Кбайт памяти. Определите максимально возможную длину серийного номера. В ответе запишите только целое число.</t>
  </si>
  <si>
    <t>На предприятии каждой изготовленной детали присваивают серийный номер, содержащий цифры из</t>
  </si>
  <si>
    <t>-тичной системы счисления</t>
  </si>
  <si>
    <t>При этом используется посимвольное кодирование серийных номеров, все символы кодируются одинаковым и минимально возможным числом бит. Известно, что для хранения</t>
  </si>
  <si>
    <t>-символьного специального алфавита. В базе данных для хранения каждого серийного номера отведено одинаковое и минимально возможное число байт.</t>
  </si>
  <si>
    <t>В каждую ячейку можно поставить один из</t>
  </si>
  <si>
    <t>+</t>
  </si>
  <si>
    <t>=</t>
  </si>
  <si>
    <t>N =</t>
  </si>
  <si>
    <t>^</t>
  </si>
  <si>
    <t>i</t>
  </si>
  <si>
    <t>&gt;</t>
  </si>
  <si>
    <t xml:space="preserve"> бит весит 1 символ серийного номера.</t>
  </si>
  <si>
    <t xml:space="preserve"> Тогда </t>
  </si>
  <si>
    <t>Латинские буквы можно использовать с учётом регистра, это значит, допускаются как большие буквы, так и маленькие.</t>
  </si>
  <si>
    <t>кбайт</t>
  </si>
  <si>
    <t>/</t>
  </si>
  <si>
    <t xml:space="preserve">*1024 </t>
  </si>
  <si>
    <t>байт</t>
  </si>
  <si>
    <t>≈</t>
  </si>
  <si>
    <t>Кбайт.</t>
  </si>
  <si>
    <t>В виде дробного числа тоже нельзя оставлять, т.к. сказано, что для номера отведено целое число байт.</t>
  </si>
  <si>
    <t xml:space="preserve">Переведём </t>
  </si>
  <si>
    <t>*</t>
  </si>
  <si>
    <t>x</t>
  </si>
  <si>
    <t>Здесь мы опять округлили в меньшую сторону, т.к. если длина номера будет больше, чем положено, для номера опять придётся выделять больше памяти, чем</t>
  </si>
  <si>
    <t>байт и в итоге мы превысим</t>
  </si>
  <si>
    <t>Кбайт для всех номеров.</t>
  </si>
  <si>
    <t>Ответ:</t>
  </si>
  <si>
    <t>Решение:</t>
  </si>
  <si>
    <t>символов</t>
  </si>
  <si>
    <t>1) В этой задаче нам неизвестна длина серийного номера. Обозначим её за x. Найдём сколько весит один символ серийного номера:</t>
  </si>
  <si>
    <t>2) Найдем логарифм от количества символов и округлим полученный ответ в большую сторону, если получилось вещественное число:</t>
  </si>
  <si>
    <t xml:space="preserve">*x бит </t>
  </si>
  <si>
    <t>будет весить весь серийный номер.</t>
  </si>
  <si>
    <t>3) Получается, что</t>
  </si>
  <si>
    <t>4) Найдём, сколько памяти отведено на 1 серийный номер:</t>
  </si>
  <si>
    <t xml:space="preserve">*x </t>
  </si>
  <si>
    <t>в байты и получим уравнение:</t>
  </si>
  <si>
    <t xml:space="preserve">Мы здесь округлили в меньшую сторону. Если бы мы округлили в большую сторону, то в итоге бы превысили </t>
  </si>
  <si>
    <t>Кбайт памяти. А в задаче сказано, что выделено не более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</si>
</sst>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9"/>
      <color rgb="FF333333"/>
      <name val="Verdana"/>
      <family val="2"/>
      <charset val="204"/>
    </font>
    <font>
      <b/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 vertical="center"/>
    </xf>
    <xf numFmtId="1" fontId="1" fillId="2" borderId="0" xfId="0" applyNumberFormat="1" applyFont="1" applyFill="1"/>
    <xf numFmtId="0" fontId="1" fillId="3" borderId="0" xfId="0" applyFont="1" applyFill="1"/>
    <xf numFmtId="0" fontId="0" fillId="3" borderId="0" xfId="0" applyFill="1"/>
    <xf numFmtId="49" fontId="0" fillId="3" borderId="0" xfId="0" applyNumberFormat="1" applyFill="1"/>
    <xf numFmtId="49" fontId="1" fillId="3" borderId="0" xfId="0" applyNumberFormat="1" applyFont="1" applyFill="1"/>
    <xf numFmtId="0" fontId="0" fillId="4" borderId="0" xfId="0" applyFill="1"/>
    <xf numFmtId="0" fontId="0" fillId="5" borderId="0" xfId="0" applyFill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0" fontId="0" fillId="7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09F40-3BAC-4919-8A50-D9B3A3F679C1}">
  <dimension ref="A1:V29"/>
  <sheetViews>
    <sheetView tabSelected="1" workbookViewId="0">
      <selection activeCell="B30" sqref="B30"/>
    </sheetView>
  </sheetViews>
  <sheetFormatPr defaultRowHeight="15" x14ac:dyDescent="0.25"/>
  <cols>
    <col min="1" max="1" width="12" customWidth="1"/>
    <col min="13" max="13" width="15.42578125" customWidth="1"/>
    <col min="17" max="17" width="11.7109375" customWidth="1"/>
  </cols>
  <sheetData>
    <row r="1" spans="1:18" x14ac:dyDescent="0.25">
      <c r="A1" s="6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</row>
    <row r="2" spans="1:18" x14ac:dyDescent="0.25">
      <c r="A2" s="2">
        <v>10</v>
      </c>
      <c r="B2" s="8" t="s">
        <v>4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</row>
    <row r="3" spans="1:18" x14ac:dyDescent="0.25">
      <c r="A3" s="2">
        <v>52</v>
      </c>
      <c r="B3" s="7" t="s">
        <v>0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x14ac:dyDescent="0.25">
      <c r="A4" s="3">
        <v>458</v>
      </c>
      <c r="B4" s="9" t="s">
        <v>6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25">
      <c r="A5" s="6" t="s">
        <v>5</v>
      </c>
      <c r="B5" s="6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</row>
    <row r="6" spans="1:18" x14ac:dyDescent="0.25">
      <c r="A6" s="3">
        <v>862</v>
      </c>
      <c r="B6" s="6" t="s">
        <v>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25">
      <c r="A7" s="5">
        <v>276</v>
      </c>
      <c r="B7" s="6" t="s">
        <v>2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10" spans="1:18" x14ac:dyDescent="0.25">
      <c r="A10" s="10" t="s">
        <v>31</v>
      </c>
    </row>
    <row r="11" spans="1:18" x14ac:dyDescent="0.25">
      <c r="A11" t="s">
        <v>33</v>
      </c>
    </row>
    <row r="12" spans="1:18" x14ac:dyDescent="0.25">
      <c r="A12" t="s">
        <v>7</v>
      </c>
      <c r="F12" s="11">
        <f>A2</f>
        <v>10</v>
      </c>
      <c r="G12" s="12" t="s">
        <v>8</v>
      </c>
      <c r="H12" s="11">
        <f>A3</f>
        <v>52</v>
      </c>
      <c r="I12" s="12" t="s">
        <v>8</v>
      </c>
      <c r="J12" s="11">
        <f>A4</f>
        <v>458</v>
      </c>
      <c r="K12" s="11" t="s">
        <v>9</v>
      </c>
      <c r="L12" s="13">
        <f>F12+H12+J12</f>
        <v>520</v>
      </c>
      <c r="M12" t="s">
        <v>32</v>
      </c>
    </row>
    <row r="13" spans="1:18" x14ac:dyDescent="0.25">
      <c r="A13" t="s">
        <v>34</v>
      </c>
      <c r="N13" s="2">
        <f>ROUNDUP(LOG(L12,2),0)</f>
        <v>10</v>
      </c>
    </row>
    <row r="14" spans="1:18" x14ac:dyDescent="0.25">
      <c r="A14" s="14" t="s">
        <v>10</v>
      </c>
      <c r="B14" s="15">
        <v>2</v>
      </c>
      <c r="C14" s="15" t="s">
        <v>11</v>
      </c>
      <c r="D14" s="15" t="s">
        <v>12</v>
      </c>
      <c r="E14" s="15" t="s">
        <v>9</v>
      </c>
      <c r="F14" s="15">
        <v>2</v>
      </c>
      <c r="G14" s="15" t="s">
        <v>11</v>
      </c>
      <c r="H14" s="15">
        <f>N13</f>
        <v>10</v>
      </c>
      <c r="I14" s="15" t="s">
        <v>13</v>
      </c>
      <c r="J14" s="15">
        <f>L12</f>
        <v>520</v>
      </c>
    </row>
    <row r="16" spans="1:18" x14ac:dyDescent="0.25">
      <c r="A16" t="s">
        <v>37</v>
      </c>
      <c r="C16" s="15">
        <f>N13</f>
        <v>10</v>
      </c>
      <c r="D16" t="s">
        <v>14</v>
      </c>
      <c r="H16" t="s">
        <v>15</v>
      </c>
      <c r="I16" s="14">
        <f>N13</f>
        <v>10</v>
      </c>
      <c r="J16" s="14" t="s">
        <v>35</v>
      </c>
      <c r="K16" t="s">
        <v>36</v>
      </c>
    </row>
    <row r="17" spans="1:22" x14ac:dyDescent="0.25">
      <c r="A17" t="s">
        <v>16</v>
      </c>
    </row>
    <row r="18" spans="1:22" x14ac:dyDescent="0.25">
      <c r="A18" t="s">
        <v>38</v>
      </c>
    </row>
    <row r="19" spans="1:22" x14ac:dyDescent="0.25">
      <c r="A19" s="15">
        <f>A7</f>
        <v>276</v>
      </c>
      <c r="B19" s="15" t="s">
        <v>17</v>
      </c>
      <c r="C19" s="15" t="s">
        <v>18</v>
      </c>
      <c r="D19" s="15">
        <f>A6</f>
        <v>862</v>
      </c>
      <c r="E19" s="15" t="s">
        <v>9</v>
      </c>
      <c r="F19" s="15">
        <f>A7</f>
        <v>276</v>
      </c>
      <c r="G19" s="15" t="s">
        <v>19</v>
      </c>
      <c r="H19" s="15" t="s">
        <v>20</v>
      </c>
      <c r="I19" s="15" t="s">
        <v>18</v>
      </c>
      <c r="J19" s="15">
        <f>A6</f>
        <v>862</v>
      </c>
      <c r="K19" s="16" t="s">
        <v>21</v>
      </c>
      <c r="L19" s="15">
        <f>A7*1024/A6</f>
        <v>327.87006960556846</v>
      </c>
      <c r="M19" s="16" t="s">
        <v>21</v>
      </c>
      <c r="N19" s="13">
        <f>ROUNDDOWN(L19,0)</f>
        <v>327</v>
      </c>
    </row>
    <row r="20" spans="1:22" x14ac:dyDescent="0.25">
      <c r="A20" s="1" t="s">
        <v>41</v>
      </c>
      <c r="L20" s="17">
        <f>A7</f>
        <v>276</v>
      </c>
      <c r="M20" t="s">
        <v>42</v>
      </c>
      <c r="R20" s="17">
        <f>A7</f>
        <v>276</v>
      </c>
      <c r="S20" t="s">
        <v>22</v>
      </c>
    </row>
    <row r="21" spans="1:22" x14ac:dyDescent="0.25">
      <c r="A21" t="s">
        <v>23</v>
      </c>
    </row>
    <row r="23" spans="1:22" x14ac:dyDescent="0.25">
      <c r="A23" s="1" t="s">
        <v>24</v>
      </c>
      <c r="B23" s="14">
        <f>N13</f>
        <v>10</v>
      </c>
      <c r="C23" s="14" t="s">
        <v>39</v>
      </c>
      <c r="D23" t="s">
        <v>40</v>
      </c>
    </row>
    <row r="24" spans="1:22" x14ac:dyDescent="0.25">
      <c r="A24" s="4">
        <f>N13</f>
        <v>10</v>
      </c>
      <c r="B24" s="4" t="s">
        <v>25</v>
      </c>
      <c r="C24" s="4" t="s">
        <v>26</v>
      </c>
      <c r="D24" s="4" t="s">
        <v>18</v>
      </c>
      <c r="E24" s="4">
        <v>8</v>
      </c>
      <c r="F24" s="4" t="s">
        <v>9</v>
      </c>
      <c r="G24" s="4">
        <f>N19</f>
        <v>327</v>
      </c>
      <c r="H24" s="4"/>
      <c r="I24" s="4"/>
      <c r="J24" s="4"/>
      <c r="K24" s="4"/>
    </row>
    <row r="25" spans="1:22" x14ac:dyDescent="0.25">
      <c r="A25" s="4">
        <f>N13</f>
        <v>10</v>
      </c>
      <c r="B25" s="4" t="s">
        <v>25</v>
      </c>
      <c r="C25" s="4" t="s">
        <v>26</v>
      </c>
      <c r="D25" s="4" t="s">
        <v>9</v>
      </c>
      <c r="E25" s="4">
        <f>N19</f>
        <v>327</v>
      </c>
      <c r="F25" s="4" t="s">
        <v>25</v>
      </c>
      <c r="G25" s="4">
        <v>8</v>
      </c>
      <c r="H25" s="4"/>
      <c r="I25" s="4"/>
      <c r="J25" s="4"/>
      <c r="K25" s="4"/>
    </row>
    <row r="26" spans="1:22" x14ac:dyDescent="0.25">
      <c r="A26" s="15" t="s">
        <v>26</v>
      </c>
      <c r="B26" s="15" t="s">
        <v>9</v>
      </c>
      <c r="C26" s="15">
        <f>N19</f>
        <v>327</v>
      </c>
      <c r="D26" s="15" t="s">
        <v>25</v>
      </c>
      <c r="E26" s="15">
        <v>8</v>
      </c>
      <c r="F26" s="15" t="s">
        <v>18</v>
      </c>
      <c r="G26" s="15">
        <f>N13</f>
        <v>10</v>
      </c>
      <c r="H26" s="15" t="s">
        <v>9</v>
      </c>
      <c r="I26" s="15">
        <f>N19*8/N13</f>
        <v>261.60000000000002</v>
      </c>
      <c r="J26" s="16" t="s">
        <v>21</v>
      </c>
      <c r="K26" s="15">
        <f>ROUNDDOWN(I26,0)</f>
        <v>261</v>
      </c>
    </row>
    <row r="27" spans="1:22" x14ac:dyDescent="0.25">
      <c r="A27" s="1" t="s">
        <v>27</v>
      </c>
      <c r="Q27" s="15">
        <f>N19</f>
        <v>327</v>
      </c>
      <c r="R27" t="s">
        <v>28</v>
      </c>
      <c r="U27" s="17">
        <f>A7</f>
        <v>276</v>
      </c>
      <c r="V27" s="1" t="s">
        <v>29</v>
      </c>
    </row>
    <row r="29" spans="1:22" x14ac:dyDescent="0.25">
      <c r="A29" t="s">
        <v>30</v>
      </c>
      <c r="B29" s="18">
        <f>K26</f>
        <v>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Ter</dc:creator>
  <cp:lastModifiedBy>Max Ter</cp:lastModifiedBy>
  <dcterms:created xsi:type="dcterms:W3CDTF">2024-10-16T06:11:55Z</dcterms:created>
  <dcterms:modified xsi:type="dcterms:W3CDTF">2024-10-16T14:40:52Z</dcterms:modified>
</cp:coreProperties>
</file>