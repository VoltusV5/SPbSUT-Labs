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ducational activities\2_2_course\discretka\"/>
    </mc:Choice>
  </mc:AlternateContent>
  <xr:revisionPtr revIDLastSave="0" documentId="13_ncr:1_{2ADF25F9-7C64-4B47-B65C-72940811C5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Формул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" i="1" l="1"/>
  <c r="E15" i="1"/>
  <c r="E18" i="1"/>
  <c r="E14" i="1"/>
  <c r="E13" i="1"/>
  <c r="E12" i="1"/>
  <c r="E9" i="1"/>
  <c r="E8" i="1"/>
  <c r="E3" i="1"/>
  <c r="E1" i="1"/>
  <c r="E2" i="1"/>
  <c r="H2" i="1" s="1"/>
  <c r="E6" i="1" l="1"/>
  <c r="E21" i="1"/>
  <c r="N2" i="1"/>
  <c r="E28" i="1"/>
  <c r="E29" i="1" s="1"/>
  <c r="E20" i="1"/>
  <c r="E4" i="1"/>
  <c r="N12" i="1"/>
  <c r="E19" i="1"/>
  <c r="E23" i="1" l="1"/>
  <c r="E7" i="1"/>
  <c r="I2" i="1" s="1"/>
  <c r="O2" i="1" s="1"/>
  <c r="P2" i="1" s="1"/>
  <c r="Q2" i="1" s="1"/>
  <c r="E27" i="1"/>
  <c r="E30" i="1" s="1"/>
  <c r="E22" i="1"/>
  <c r="H3" i="1" l="1"/>
  <c r="N3" i="1" s="1"/>
  <c r="M2" i="1"/>
  <c r="I3" i="1"/>
  <c r="M3" i="1" s="1"/>
  <c r="H4" i="1" l="1"/>
  <c r="N4" i="1" s="1"/>
  <c r="O12" i="1"/>
  <c r="N13" i="1" s="1"/>
  <c r="O3" i="1"/>
  <c r="P3" i="1" s="1"/>
  <c r="Q3" i="1" s="1"/>
  <c r="I4" i="1" l="1"/>
  <c r="O4" i="1" s="1"/>
  <c r="P4" i="1" s="1"/>
  <c r="Q4" i="1" s="1"/>
  <c r="Q13" i="1" s="1"/>
  <c r="O13" i="1"/>
  <c r="N14" i="1" s="1"/>
  <c r="O14" i="1" s="1"/>
  <c r="N15" i="1" s="1"/>
  <c r="O15" i="1" s="1"/>
  <c r="N16" i="1" s="1"/>
  <c r="O16" i="1" s="1"/>
  <c r="N17" i="1" s="1"/>
  <c r="M4" i="1" l="1"/>
  <c r="H5" i="1"/>
  <c r="N5" i="1" s="1"/>
  <c r="R21" i="1"/>
  <c r="R23" i="1" s="1"/>
  <c r="I5" i="1" l="1"/>
  <c r="O5" i="1" l="1"/>
  <c r="P5" i="1" s="1"/>
  <c r="Q5" i="1" s="1"/>
  <c r="Q14" i="1" s="1"/>
  <c r="M5" i="1"/>
  <c r="H6" i="1"/>
  <c r="N6" i="1" l="1"/>
  <c r="I6" i="1"/>
  <c r="H7" i="1" l="1"/>
  <c r="M6" i="1"/>
  <c r="O6" i="1"/>
  <c r="P6" i="1" s="1"/>
  <c r="Q6" i="1" s="1"/>
  <c r="Q15" i="1" s="1"/>
  <c r="N7" i="1" l="1"/>
  <c r="I7" i="1"/>
  <c r="M7" i="1" s="1"/>
  <c r="H8" i="1" l="1"/>
  <c r="O7" i="1"/>
  <c r="P7" i="1" s="1"/>
  <c r="Q7" i="1" s="1"/>
  <c r="Q16" i="1" s="1"/>
  <c r="N8" i="1" l="1"/>
  <c r="I8" i="1"/>
  <c r="M8" i="1" l="1"/>
  <c r="H9" i="1"/>
  <c r="O8" i="1"/>
  <c r="P8" i="1" s="1"/>
  <c r="Q8" i="1" s="1"/>
  <c r="N9" i="1" l="1"/>
  <c r="I9" i="1"/>
  <c r="M9" i="1" l="1"/>
  <c r="O9" i="1"/>
  <c r="P9" i="1" s="1"/>
  <c r="Q9" i="1" s="1"/>
  <c r="Q17" i="1" s="1"/>
  <c r="O17" i="1"/>
  <c r="J2" i="1" a="1"/>
  <c r="K6" i="1" l="1"/>
  <c r="L6" i="1" s="1"/>
  <c r="K8" i="1"/>
  <c r="L8" i="1" s="1"/>
  <c r="K7" i="1"/>
  <c r="L7" i="1" s="1"/>
  <c r="P15" i="1"/>
  <c r="R15" i="1" s="1"/>
  <c r="K4" i="1"/>
  <c r="L4" i="1" s="1"/>
  <c r="J2" i="1"/>
  <c r="P14" i="1"/>
  <c r="R14" i="1" s="1"/>
  <c r="K3" i="1"/>
  <c r="L3" i="1" s="1"/>
  <c r="K5" i="1"/>
  <c r="L5" i="1" s="1"/>
  <c r="P17" i="1"/>
  <c r="R17" i="1" s="1"/>
  <c r="K9" i="1"/>
  <c r="L9" i="1" s="1"/>
  <c r="K10" i="1"/>
  <c r="L10" i="1" s="1"/>
  <c r="P16" i="1"/>
  <c r="R16" i="1" s="1"/>
  <c r="P13" i="1"/>
  <c r="R13" i="1" s="1"/>
  <c r="J11" i="1" l="1"/>
  <c r="K2" i="1"/>
  <c r="P12" i="1"/>
  <c r="R12" i="1" s="1"/>
  <c r="R19" i="1" s="1"/>
  <c r="K11" i="1" l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<sst xmlns="http://schemas.openxmlformats.org/spreadsheetml/2006/main" count="67" uniqueCount="64">
  <si>
    <t>x</t>
  </si>
  <si>
    <t>n (объём)</t>
  </si>
  <si>
    <t>x_min</t>
  </si>
  <si>
    <t>x_max</t>
  </si>
  <si>
    <t>Размах R</t>
  </si>
  <si>
    <t>Число интервалов k =</t>
  </si>
  <si>
    <t>Длина интервала h =</t>
  </si>
  <si>
    <t>№</t>
  </si>
  <si>
    <t>Правая гран.</t>
  </si>
  <si>
    <t>ni</t>
  </si>
  <si>
    <t>ωi</t>
  </si>
  <si>
    <t>ωi / h</t>
  </si>
  <si>
    <t>Середина</t>
  </si>
  <si>
    <t>Левая гран.</t>
  </si>
  <si>
    <t>Медиана m =</t>
  </si>
  <si>
    <t xml:space="preserve">Мода M = </t>
  </si>
  <si>
    <t>6.</t>
  </si>
  <si>
    <t>Выборочное среднее (x̄)</t>
  </si>
  <si>
    <t>Выборочная дисперсия D</t>
  </si>
  <si>
    <t>Стандартное отклонение</t>
  </si>
  <si>
    <t>7.</t>
  </si>
  <si>
    <t>Надежность y =</t>
  </si>
  <si>
    <t>Уровень значимости a =</t>
  </si>
  <si>
    <t xml:space="preserve">t = </t>
  </si>
  <si>
    <t xml:space="preserve">Стьюдент = </t>
  </si>
  <si>
    <t>Стандартная ошибка среднего</t>
  </si>
  <si>
    <t>Нижняя граница интервала</t>
  </si>
  <si>
    <t>Верхняя граница интервала</t>
  </si>
  <si>
    <t>Доверительный интервал для математического ожидания</t>
  </si>
  <si>
    <t>Доверительный интервал для среднего квадратического отклонения</t>
  </si>
  <si>
    <t>χ² нижнее, левый хвост</t>
  </si>
  <si>
    <t>χ² верхнее, правый хвост</t>
  </si>
  <si>
    <t>Нижняя граница для σ</t>
  </si>
  <si>
    <t>Верхняя граница для σ</t>
  </si>
  <si>
    <t>z_левая</t>
  </si>
  <si>
    <t>z_правая</t>
  </si>
  <si>
    <t>p_i</t>
  </si>
  <si>
    <t>(ni – e_i)² / e_i</t>
  </si>
  <si>
    <t>e_i 2</t>
  </si>
  <si>
    <t>n_i 2</t>
  </si>
  <si>
    <t>Сумма χ²</t>
  </si>
  <si>
    <t>Степени свободы</t>
  </si>
  <si>
    <t>Критическое значение</t>
  </si>
  <si>
    <t>Так как Сумма χ² &lt; Критического значения</t>
  </si>
  <si>
    <t>то гипотеза о нормальном распределении не отвергается</t>
  </si>
  <si>
    <t>Исправленная выборочная дисперсия</t>
  </si>
  <si>
    <t>e_i (ожидаемое число попаданий)</t>
  </si>
  <si>
    <t>17,00-21,50</t>
  </si>
  <si>
    <t>21,50-26,00</t>
  </si>
  <si>
    <t>26,00-30,50</t>
  </si>
  <si>
    <t>30,50-35,00</t>
  </si>
  <si>
    <t>35,00-39,50</t>
  </si>
  <si>
    <t>39,50-44,00</t>
  </si>
  <si>
    <t>44,00-48,50</t>
  </si>
  <si>
    <t>48,50-53,00</t>
  </si>
  <si>
    <t>Выборочное среднее</t>
  </si>
  <si>
    <t>Выборочная дисперсия</t>
  </si>
  <si>
    <t>Доверительный интервал для мат. ожидания</t>
  </si>
  <si>
    <t>Доверительный интервал для стандартного отклонения</t>
  </si>
  <si>
    <t>Число степеней свободы</t>
  </si>
  <si>
    <t>l — число интервалов (разрядов)</t>
  </si>
  <si>
    <t>r — число параметров предполагаемого распределения, оценённых по выборке.</t>
  </si>
  <si>
    <t>Наблюдаемое значение критерия Пирсона</t>
  </si>
  <si>
    <t>Вычисление теоретических вероятностей для нормального закона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</si>
</sst>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name val="Arial Unicode MS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  <xf numFmtId="2" fontId="2" fillId="0" borderId="0" xfId="0" applyNumberFormat="1" applyFont="1"/>
    <xf numFmtId="0" fontId="2" fillId="0" borderId="0" xfId="0" applyFont="1"/>
    <xf numFmtId="0" fontId="0" fillId="2" borderId="0" xfId="0" applyFill="1"/>
    <xf numFmtId="2" fontId="3" fillId="0" borderId="0" xfId="0" applyNumberFormat="1" applyFont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4" fillId="0" borderId="1" xfId="1" applyBorder="1"/>
  </cellXfs>
  <cellStyles count="2">
    <cellStyle name="Обычный" xfId="0" builtinId="0"/>
    <cellStyle name="Обычный 2" xfId="1" xr:uid="{51D6C20B-DD4A-45E5-BDD8-6A7E75222B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Sheet1!$H$28:$H$35</c:f>
              <c:strCache>
                <c:ptCount val="8"/>
                <c:pt idx="0">
                  <c:v>17,00-21,50</c:v>
                </c:pt>
                <c:pt idx="1">
                  <c:v>21,50-26,00</c:v>
                </c:pt>
                <c:pt idx="2">
                  <c:v>26,00-30,50</c:v>
                </c:pt>
                <c:pt idx="3">
                  <c:v>30,50-35,00</c:v>
                </c:pt>
                <c:pt idx="4">
                  <c:v>35,00-39,50</c:v>
                </c:pt>
                <c:pt idx="5">
                  <c:v>39,50-44,00</c:v>
                </c:pt>
                <c:pt idx="6">
                  <c:v>44,00-48,50</c:v>
                </c:pt>
                <c:pt idx="7">
                  <c:v>48,50-53,00</c:v>
                </c:pt>
              </c:strCache>
            </c:strRef>
          </c:cat>
          <c:val>
            <c:numRef>
              <c:f>Sheet1!$L$2:$L$9</c:f>
              <c:numCache>
                <c:formatCode>General</c:formatCode>
                <c:ptCount val="8"/>
                <c:pt idx="0">
                  <c:v>6.5359477124183009E-3</c:v>
                </c:pt>
                <c:pt idx="1">
                  <c:v>2.178649237472767E-2</c:v>
                </c:pt>
                <c:pt idx="2">
                  <c:v>4.1394335511982572E-2</c:v>
                </c:pt>
                <c:pt idx="3">
                  <c:v>5.8823529411764705E-2</c:v>
                </c:pt>
                <c:pt idx="4">
                  <c:v>4.7930283224400877E-2</c:v>
                </c:pt>
                <c:pt idx="5">
                  <c:v>2.178649237472767E-2</c:v>
                </c:pt>
                <c:pt idx="6">
                  <c:v>1.525054466230937E-2</c:v>
                </c:pt>
                <c:pt idx="7">
                  <c:v>6.5359477124183009E-3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A-480A-854B-ED560DEB7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847104"/>
        <c:axId val="2032852384"/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841248"/>
        <c:axId val="21178417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Sheet1!$M$2:$M$9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19.25</c:v>
                      </c:pt>
                      <c:pt idx="1">
                        <c:v>23.75</c:v>
                      </c:pt>
                      <c:pt idx="2">
                        <c:v>28.25</c:v>
                      </c:pt>
                      <c:pt idx="3">
                        <c:v>32.75</c:v>
                      </c:pt>
                      <c:pt idx="4">
                        <c:v>37.25</c:v>
                      </c:pt>
                      <c:pt idx="5">
                        <c:v>41.75</c:v>
                      </c:pt>
                      <c:pt idx="6">
                        <c:v>46.25</c:v>
                      </c:pt>
                      <c:pt idx="7">
                        <c:v>50.75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44A-480A-854B-ED560DEB7473}"/>
                  </c:ext>
                </c:extLst>
              </c15:ser>
            </c15:filteredLineSeries>
          </c:ext>
        </c:extLst>
      </c:lineChart>
      <c:catAx>
        <c:axId val="2117841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7841728"/>
        <c:crosses val="autoZero"/>
        <c:auto val="1"/>
        <c:lblAlgn val="ctr"/>
        <c:lblOffset val="100"/>
        <c:noMultiLvlLbl val="0"/>
      </c:catAx>
      <c:valAx>
        <c:axId val="211784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7841248"/>
        <c:crosses val="autoZero"/>
        <c:crossBetween val="between"/>
      </c:valAx>
      <c:valAx>
        <c:axId val="20328523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2847104"/>
        <c:crosses val="max"/>
        <c:crossBetween val="between"/>
      </c:valAx>
      <c:catAx>
        <c:axId val="2032847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2852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14288</xdr:colOff>
      <xdr:row>12</xdr:row>
      <xdr:rowOff>4762</xdr:rowOff>
    </xdr:from>
    <xdr:to>
      <xdr:col>12</xdr:col>
      <xdr:colOff>580064</xdr:colOff>
      <xdr:row>24</xdr:row>
      <xdr:rowOff>85725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900630D-203F-C95E-0490-FD0BD8E59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8338" y="2290762"/>
          <a:ext cx="3909051" cy="2366963"/>
        </a:xfrm>
        <a:prstGeom prst="rect">
          <a:avLst/>
        </a:prstGeom>
      </xdr:spPr>
    </xdr:pic>
    <xdr:clientData/>
  </xdr:twoCellAnchor>
  <xdr:twoCellAnchor>
    <xdr:from>
      <xdr:col>7</xdr:col>
      <xdr:colOff>11206</xdr:colOff>
      <xdr:row>25</xdr:row>
      <xdr:rowOff>164727</xdr:rowOff>
    </xdr:from>
    <xdr:to>
      <xdr:col>12</xdr:col>
      <xdr:colOff>516031</xdr:colOff>
      <xdr:row>39</xdr:row>
      <xdr:rowOff>2802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B0A0FAC-90F9-765A-283D-33B415A50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8</xdr:row>
      <xdr:rowOff>38100</xdr:rowOff>
    </xdr:from>
    <xdr:to>
      <xdr:col>2</xdr:col>
      <xdr:colOff>40827</xdr:colOff>
      <xdr:row>11</xdr:row>
      <xdr:rowOff>28633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0BCE8DC-E0BF-41E8-BEE3-AE29E1263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1546860"/>
          <a:ext cx="1206687" cy="54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190500</xdr:rowOff>
    </xdr:from>
    <xdr:to>
      <xdr:col>1</xdr:col>
      <xdr:colOff>304800</xdr:colOff>
      <xdr:row>6</xdr:row>
      <xdr:rowOff>49238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1D45A47-1980-430E-A21F-94CA219D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381000"/>
          <a:ext cx="838200" cy="788378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14</xdr:row>
      <xdr:rowOff>60960</xdr:rowOff>
    </xdr:from>
    <xdr:to>
      <xdr:col>1</xdr:col>
      <xdr:colOff>462063</xdr:colOff>
      <xdr:row>18</xdr:row>
      <xdr:rowOff>45720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FB48B9E-A50A-4836-B8A4-A68B83DB1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" y="2689860"/>
          <a:ext cx="980223" cy="71628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2</xdr:row>
      <xdr:rowOff>68580</xdr:rowOff>
    </xdr:from>
    <xdr:to>
      <xdr:col>9</xdr:col>
      <xdr:colOff>265402</xdr:colOff>
      <xdr:row>5</xdr:row>
      <xdr:rowOff>45720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EE63AD-4C0E-4988-B5B1-00F51E1E9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88080" y="457200"/>
          <a:ext cx="2063722" cy="52578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5</xdr:row>
      <xdr:rowOff>68580</xdr:rowOff>
    </xdr:from>
    <xdr:to>
      <xdr:col>7</xdr:col>
      <xdr:colOff>441960</xdr:colOff>
      <xdr:row>9</xdr:row>
      <xdr:rowOff>52728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F6A51E2-FD7D-44E2-9ABC-E2DCB980D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72840" y="1005840"/>
          <a:ext cx="1036320" cy="73852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76200</xdr:rowOff>
    </xdr:from>
    <xdr:to>
      <xdr:col>9</xdr:col>
      <xdr:colOff>307864</xdr:colOff>
      <xdr:row>16</xdr:row>
      <xdr:rowOff>152400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1E3B271-19B2-4B9F-BD8F-37D6002D6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57600" y="2339340"/>
          <a:ext cx="2136664" cy="830580"/>
        </a:xfrm>
        <a:prstGeom prst="rect">
          <a:avLst/>
        </a:prstGeom>
      </xdr:spPr>
    </xdr:pic>
    <xdr:clientData/>
  </xdr:twoCellAnchor>
  <xdr:twoCellAnchor editAs="oneCell">
    <xdr:from>
      <xdr:col>13</xdr:col>
      <xdr:colOff>594360</xdr:colOff>
      <xdr:row>1</xdr:row>
      <xdr:rowOff>121920</xdr:rowOff>
    </xdr:from>
    <xdr:to>
      <xdr:col>17</xdr:col>
      <xdr:colOff>82550</xdr:colOff>
      <xdr:row>4</xdr:row>
      <xdr:rowOff>10209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85EF2B22-CABE-4B6E-983E-D525EAD60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19160" y="312420"/>
          <a:ext cx="1926590" cy="452169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8</xdr:row>
      <xdr:rowOff>0</xdr:rowOff>
    </xdr:from>
    <xdr:to>
      <xdr:col>17</xdr:col>
      <xdr:colOff>10319</xdr:colOff>
      <xdr:row>11</xdr:row>
      <xdr:rowOff>19064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8CCE6F8C-6E6E-4F11-986F-248EC6297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96300" y="1508760"/>
          <a:ext cx="1877219" cy="575324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</xdr:colOff>
      <xdr:row>15</xdr:row>
      <xdr:rowOff>38100</xdr:rowOff>
    </xdr:from>
    <xdr:to>
      <xdr:col>21</xdr:col>
      <xdr:colOff>445135</xdr:colOff>
      <xdr:row>17</xdr:row>
      <xdr:rowOff>146357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CC9E780C-91EB-4C26-B379-E3F0328D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57260" y="2872740"/>
          <a:ext cx="4689475" cy="474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3"/>
  <sheetViews>
    <sheetView tabSelected="1" zoomScale="82" zoomScaleNormal="85" workbookViewId="0">
      <selection activeCell="E19" sqref="E19"/>
    </sheetView>
  </sheetViews>
  <sheetFormatPr defaultRowHeight="14.4"/>
  <cols>
    <col min="1" max="1" width="11.44140625" customWidth="1"/>
    <col min="4" max="4" width="36" customWidth="1"/>
    <col min="8" max="8" width="13.109375" customWidth="1"/>
    <col min="9" max="9" width="12.44140625" bestFit="1" customWidth="1"/>
    <col min="10" max="10" width="5.5546875" customWidth="1"/>
    <col min="11" max="11" width="9.88671875" customWidth="1"/>
    <col min="12" max="12" width="9.109375" customWidth="1"/>
    <col min="13" max="13" width="10" bestFit="1" customWidth="1"/>
    <col min="14" max="14" width="11.88671875" customWidth="1"/>
    <col min="15" max="15" width="12.88671875" customWidth="1"/>
    <col min="18" max="18" width="21.88671875" customWidth="1"/>
  </cols>
  <sheetData>
    <row r="1" spans="1:28">
      <c r="A1" t="s">
        <v>0</v>
      </c>
      <c r="D1" t="s">
        <v>1</v>
      </c>
      <c r="E1">
        <f>COUNT(A2:A200)</f>
        <v>102</v>
      </c>
      <c r="G1" t="s">
        <v>7</v>
      </c>
      <c r="H1" t="s">
        <v>13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34</v>
      </c>
      <c r="O1" t="s">
        <v>35</v>
      </c>
      <c r="P1" t="s">
        <v>36</v>
      </c>
      <c r="Q1" t="s">
        <v>46</v>
      </c>
    </row>
    <row r="2" spans="1:28">
      <c r="A2" s="5">
        <v>36.549999999999997</v>
      </c>
      <c r="B2" s="1"/>
      <c r="D2" t="s">
        <v>2</v>
      </c>
      <c r="E2" s="5">
        <f>MIN(A2:A200)</f>
        <v>17.5</v>
      </c>
      <c r="F2" s="1"/>
      <c r="G2">
        <v>1</v>
      </c>
      <c r="H2" s="5">
        <f>ROUNDDOWN(E2,0)</f>
        <v>17</v>
      </c>
      <c r="I2" s="3">
        <f t="shared" ref="I2:I9" si="0">H2+$E$7</f>
        <v>21.5</v>
      </c>
      <c r="J2" cm="1">
        <f t="array" ref="J2:J10">FREQUENCY(A2:A200,I2:I9)</f>
        <v>3</v>
      </c>
      <c r="K2">
        <f>J2 / $E$1</f>
        <v>2.9411764705882353E-2</v>
      </c>
      <c r="L2">
        <f>K2 / $E$7</f>
        <v>6.5359477124183009E-3</v>
      </c>
      <c r="M2">
        <f>(H2+I2)/2</f>
        <v>19.25</v>
      </c>
      <c r="N2" s="5">
        <f>(H2 - $E$12) / $E$14</f>
        <v>-2.3860741347860177</v>
      </c>
      <c r="O2">
        <f>(I2 - $E$12) / $E$14</f>
        <v>-1.7580122535578981</v>
      </c>
      <c r="P2" s="5">
        <f>_xlfn.NORM.S.DIST(O2,1) - _xlfn.NORM.S.DIST(N2,1)</f>
        <v>3.0858053292101804E-2</v>
      </c>
      <c r="Q2">
        <f>102 * P2</f>
        <v>3.1475214357943839</v>
      </c>
    </row>
    <row r="3" spans="1:28">
      <c r="A3" s="5">
        <v>34.76</v>
      </c>
      <c r="B3" s="1"/>
      <c r="C3" s="1"/>
      <c r="D3" t="s">
        <v>3</v>
      </c>
      <c r="E3" s="5">
        <f>MAX(A2:A200)</f>
        <v>53.22</v>
      </c>
      <c r="F3" s="1"/>
      <c r="G3" s="7">
        <v>2</v>
      </c>
      <c r="H3" s="5">
        <f t="shared" ref="H3:H9" si="1">I2</f>
        <v>21.5</v>
      </c>
      <c r="I3" s="3">
        <f t="shared" si="0"/>
        <v>26</v>
      </c>
      <c r="J3">
        <v>10</v>
      </c>
      <c r="K3">
        <f t="shared" ref="K3:K10" si="2">J3 / $E$1</f>
        <v>9.8039215686274508E-2</v>
      </c>
      <c r="L3">
        <f t="shared" ref="L3:L10" si="3">K3 / $E$7</f>
        <v>2.178649237472767E-2</v>
      </c>
      <c r="M3">
        <f t="shared" ref="M3:M9" si="4">(H3+I3)/2</f>
        <v>23.75</v>
      </c>
      <c r="N3" s="5">
        <f>(H3 - $E$12) / $E$14</f>
        <v>-1.7580122535578981</v>
      </c>
      <c r="O3">
        <f t="shared" ref="O3:O9" si="5">(I3 - $E$12) / $E$14</f>
        <v>-1.129950372329779</v>
      </c>
      <c r="P3" s="5">
        <f t="shared" ref="P3:P9" si="6">_xlfn.NORM.S.DIST(O3,1) - _xlfn.NORM.S.DIST(N3,1)</f>
        <v>8.9875856168076085E-2</v>
      </c>
      <c r="Q3">
        <f t="shared" ref="Q3:Q9" si="7">102 * P3</f>
        <v>9.167337329143761</v>
      </c>
      <c r="T3">
        <v>36.549999999999997</v>
      </c>
      <c r="U3">
        <v>34.76</v>
      </c>
      <c r="V3">
        <v>27.91</v>
      </c>
      <c r="W3">
        <v>25.33</v>
      </c>
      <c r="X3">
        <v>37.26</v>
      </c>
      <c r="Y3">
        <v>38.840000000000003</v>
      </c>
      <c r="Z3">
        <v>37.43</v>
      </c>
      <c r="AA3">
        <v>25.5</v>
      </c>
      <c r="AB3">
        <v>38.68</v>
      </c>
    </row>
    <row r="4" spans="1:28">
      <c r="A4" s="5">
        <v>27.91</v>
      </c>
      <c r="B4" s="1"/>
      <c r="C4" s="1"/>
      <c r="D4" t="s">
        <v>4</v>
      </c>
      <c r="E4" s="5">
        <f>E3-E2</f>
        <v>35.72</v>
      </c>
      <c r="F4" s="1"/>
      <c r="G4" s="7">
        <v>3</v>
      </c>
      <c r="H4" s="5">
        <f t="shared" si="1"/>
        <v>26</v>
      </c>
      <c r="I4" s="3">
        <f t="shared" si="0"/>
        <v>30.5</v>
      </c>
      <c r="J4">
        <v>19</v>
      </c>
      <c r="K4">
        <f t="shared" si="2"/>
        <v>0.18627450980392157</v>
      </c>
      <c r="L4">
        <f t="shared" si="3"/>
        <v>4.1394335511982572E-2</v>
      </c>
      <c r="M4">
        <f t="shared" si="4"/>
        <v>28.25</v>
      </c>
      <c r="N4" s="5">
        <f t="shared" ref="N4:N9" si="8">(H4 - $E$12) / $E$14</f>
        <v>-1.129950372329779</v>
      </c>
      <c r="O4">
        <f t="shared" si="5"/>
        <v>-0.50188849110165956</v>
      </c>
      <c r="P4" s="5">
        <f t="shared" si="6"/>
        <v>0.17862441232038004</v>
      </c>
      <c r="Q4">
        <f t="shared" si="7"/>
        <v>18.219690056678765</v>
      </c>
      <c r="T4">
        <v>52.21</v>
      </c>
      <c r="U4">
        <v>18.82</v>
      </c>
      <c r="V4">
        <v>25.19</v>
      </c>
      <c r="W4">
        <v>33.6</v>
      </c>
      <c r="X4">
        <v>28.25</v>
      </c>
      <c r="Y4">
        <v>40.85</v>
      </c>
      <c r="Z4">
        <v>34.880000000000003</v>
      </c>
      <c r="AA4">
        <v>47.07</v>
      </c>
      <c r="AB4">
        <v>45.64</v>
      </c>
    </row>
    <row r="5" spans="1:28">
      <c r="A5" s="5">
        <v>25.33</v>
      </c>
      <c r="B5" s="1"/>
      <c r="C5" s="1"/>
      <c r="D5" s="1"/>
      <c r="E5" s="1"/>
      <c r="F5" s="1"/>
      <c r="G5" s="7">
        <v>4</v>
      </c>
      <c r="H5" s="5">
        <f t="shared" si="1"/>
        <v>30.5</v>
      </c>
      <c r="I5" s="3">
        <f t="shared" si="0"/>
        <v>35</v>
      </c>
      <c r="J5">
        <v>27</v>
      </c>
      <c r="K5">
        <f t="shared" si="2"/>
        <v>0.26470588235294118</v>
      </c>
      <c r="L5">
        <f t="shared" si="3"/>
        <v>5.8823529411764705E-2</v>
      </c>
      <c r="M5">
        <f t="shared" si="4"/>
        <v>32.75</v>
      </c>
      <c r="N5" s="5">
        <f t="shared" si="8"/>
        <v>-0.50188849110165956</v>
      </c>
      <c r="O5">
        <f t="shared" si="5"/>
        <v>0.12617339012645973</v>
      </c>
      <c r="P5" s="5">
        <f t="shared" si="6"/>
        <v>0.24232968200915755</v>
      </c>
      <c r="Q5">
        <f t="shared" si="7"/>
        <v>24.71762756493407</v>
      </c>
      <c r="T5">
        <v>35.74</v>
      </c>
      <c r="U5">
        <v>36.590000000000003</v>
      </c>
      <c r="V5">
        <v>31.31</v>
      </c>
      <c r="W5">
        <v>45.28</v>
      </c>
      <c r="X5">
        <v>25.73</v>
      </c>
      <c r="Y5">
        <v>24.67</v>
      </c>
      <c r="Z5">
        <v>35.97</v>
      </c>
      <c r="AA5">
        <v>27.06</v>
      </c>
      <c r="AB5">
        <v>23.33</v>
      </c>
    </row>
    <row r="6" spans="1:28">
      <c r="A6" s="5">
        <v>37.26</v>
      </c>
      <c r="D6" t="s">
        <v>5</v>
      </c>
      <c r="E6">
        <f>ROUNDUP(1+3.322*LOG10(E1),0)</f>
        <v>8</v>
      </c>
      <c r="F6" s="1"/>
      <c r="G6" s="7">
        <v>5</v>
      </c>
      <c r="H6" s="5">
        <f t="shared" si="1"/>
        <v>35</v>
      </c>
      <c r="I6" s="3">
        <f t="shared" si="0"/>
        <v>39.5</v>
      </c>
      <c r="J6">
        <v>22</v>
      </c>
      <c r="K6">
        <f t="shared" si="2"/>
        <v>0.21568627450980393</v>
      </c>
      <c r="L6">
        <f t="shared" si="3"/>
        <v>4.7930283224400877E-2</v>
      </c>
      <c r="M6">
        <f t="shared" si="4"/>
        <v>37.25</v>
      </c>
      <c r="N6" s="5">
        <f t="shared" si="8"/>
        <v>0.12617339012645973</v>
      </c>
      <c r="O6">
        <f t="shared" si="5"/>
        <v>0.75423527135457902</v>
      </c>
      <c r="P6" s="5">
        <f t="shared" si="6"/>
        <v>0.22444335638433566</v>
      </c>
      <c r="Q6">
        <f t="shared" si="7"/>
        <v>22.893222351202237</v>
      </c>
      <c r="T6">
        <v>37.619999999999997</v>
      </c>
      <c r="U6">
        <v>32.61</v>
      </c>
      <c r="V6">
        <v>36.61</v>
      </c>
      <c r="W6">
        <v>51.25</v>
      </c>
      <c r="X6">
        <v>40.86</v>
      </c>
      <c r="Y6">
        <v>34.17</v>
      </c>
      <c r="Z6">
        <v>41.71</v>
      </c>
      <c r="AA6">
        <v>26.86</v>
      </c>
      <c r="AB6">
        <v>40.549999999999997</v>
      </c>
    </row>
    <row r="7" spans="1:28">
      <c r="A7" s="5">
        <v>38.840000000000003</v>
      </c>
      <c r="D7" t="s">
        <v>6</v>
      </c>
      <c r="E7" s="1">
        <f>ROUND(E4/E6, 1)</f>
        <v>4.5</v>
      </c>
      <c r="F7" s="1"/>
      <c r="G7" s="7">
        <v>6</v>
      </c>
      <c r="H7" s="5">
        <f t="shared" si="1"/>
        <v>39.5</v>
      </c>
      <c r="I7" s="3">
        <f t="shared" si="0"/>
        <v>44</v>
      </c>
      <c r="J7">
        <v>10</v>
      </c>
      <c r="K7">
        <f t="shared" si="2"/>
        <v>9.8039215686274508E-2</v>
      </c>
      <c r="L7">
        <f t="shared" si="3"/>
        <v>2.178649237472767E-2</v>
      </c>
      <c r="M7">
        <f t="shared" si="4"/>
        <v>41.75</v>
      </c>
      <c r="N7" s="5">
        <f t="shared" si="8"/>
        <v>0.75423527135457902</v>
      </c>
      <c r="O7">
        <f t="shared" si="5"/>
        <v>1.3822971525826984</v>
      </c>
      <c r="P7" s="5">
        <f t="shared" si="6"/>
        <v>0.14191374095476805</v>
      </c>
      <c r="Q7">
        <f t="shared" si="7"/>
        <v>14.475201577386342</v>
      </c>
      <c r="T7">
        <v>33.869999999999997</v>
      </c>
      <c r="U7">
        <v>28.3</v>
      </c>
      <c r="V7">
        <v>28.4</v>
      </c>
      <c r="W7">
        <v>32.71</v>
      </c>
      <c r="X7">
        <v>17.5</v>
      </c>
      <c r="Y7">
        <v>27.53</v>
      </c>
      <c r="Z7">
        <v>27.24</v>
      </c>
      <c r="AA7">
        <v>32.409999999999997</v>
      </c>
      <c r="AB7">
        <v>45.76</v>
      </c>
    </row>
    <row r="8" spans="1:28">
      <c r="A8" s="5">
        <v>37.43</v>
      </c>
      <c r="D8" s="1" t="s">
        <v>14</v>
      </c>
      <c r="E8" s="9">
        <f>MEDIAN(A2:A2000)</f>
        <v>33.685000000000002</v>
      </c>
      <c r="F8" s="1"/>
      <c r="G8" s="7">
        <v>7</v>
      </c>
      <c r="H8" s="5">
        <f t="shared" si="1"/>
        <v>44</v>
      </c>
      <c r="I8" s="3">
        <f t="shared" si="0"/>
        <v>48.5</v>
      </c>
      <c r="J8">
        <v>7</v>
      </c>
      <c r="K8">
        <f t="shared" si="2"/>
        <v>6.8627450980392163E-2</v>
      </c>
      <c r="L8">
        <f t="shared" si="3"/>
        <v>1.525054466230937E-2</v>
      </c>
      <c r="M8">
        <f t="shared" si="4"/>
        <v>46.25</v>
      </c>
      <c r="N8" s="5">
        <f t="shared" si="8"/>
        <v>1.3822971525826984</v>
      </c>
      <c r="O8">
        <f t="shared" si="5"/>
        <v>2.0103590338108175</v>
      </c>
      <c r="P8" s="5">
        <f t="shared" si="6"/>
        <v>6.1243638473207462E-2</v>
      </c>
      <c r="Q8">
        <f t="shared" si="7"/>
        <v>6.2468511242671614</v>
      </c>
      <c r="T8">
        <v>42.07</v>
      </c>
      <c r="U8">
        <v>36.950000000000003</v>
      </c>
      <c r="V8">
        <v>53.22</v>
      </c>
      <c r="W8">
        <v>24.51</v>
      </c>
      <c r="X8">
        <v>44.19</v>
      </c>
      <c r="Y8">
        <v>33.69</v>
      </c>
      <c r="Z8">
        <v>33.26</v>
      </c>
      <c r="AA8">
        <v>35.979999999999997</v>
      </c>
      <c r="AB8">
        <v>37.99</v>
      </c>
    </row>
    <row r="9" spans="1:28">
      <c r="A9" s="5">
        <v>25.5</v>
      </c>
      <c r="C9" s="1"/>
      <c r="D9" t="s">
        <v>15</v>
      </c>
      <c r="E9">
        <f>MODE(A2:A103)</f>
        <v>25.73</v>
      </c>
      <c r="F9" s="1"/>
      <c r="G9" s="7">
        <v>8</v>
      </c>
      <c r="H9" s="5">
        <f t="shared" si="1"/>
        <v>48.5</v>
      </c>
      <c r="I9" s="3">
        <f t="shared" si="0"/>
        <v>53</v>
      </c>
      <c r="J9">
        <v>3</v>
      </c>
      <c r="K9">
        <f t="shared" si="2"/>
        <v>2.9411764705882353E-2</v>
      </c>
      <c r="L9">
        <f t="shared" si="3"/>
        <v>6.5359477124183009E-3</v>
      </c>
      <c r="M9">
        <f t="shared" si="4"/>
        <v>50.75</v>
      </c>
      <c r="N9" s="5">
        <f t="shared" si="8"/>
        <v>2.0103590338108175</v>
      </c>
      <c r="O9">
        <f t="shared" si="5"/>
        <v>2.6384209150389371</v>
      </c>
      <c r="P9" s="5">
        <f t="shared" si="6"/>
        <v>1.8031945204333266E-2</v>
      </c>
      <c r="Q9">
        <f t="shared" si="7"/>
        <v>1.8392584108419932</v>
      </c>
      <c r="T9">
        <v>39.54</v>
      </c>
      <c r="U9">
        <v>41.22</v>
      </c>
      <c r="V9">
        <v>27.54</v>
      </c>
      <c r="W9">
        <v>37.090000000000003</v>
      </c>
      <c r="X9">
        <v>25.73</v>
      </c>
      <c r="Y9">
        <v>43.23</v>
      </c>
      <c r="Z9">
        <v>30.88</v>
      </c>
      <c r="AA9">
        <v>35.130000000000003</v>
      </c>
      <c r="AB9">
        <v>30.9</v>
      </c>
    </row>
    <row r="10" spans="1:28">
      <c r="A10" s="5">
        <v>38.68</v>
      </c>
      <c r="B10" s="1"/>
      <c r="C10" s="1"/>
      <c r="D10" s="1"/>
      <c r="E10" s="1"/>
      <c r="F10" s="1"/>
      <c r="G10" s="1"/>
      <c r="H10" s="1"/>
      <c r="I10" s="1"/>
      <c r="J10">
        <v>1</v>
      </c>
      <c r="K10">
        <f t="shared" si="2"/>
        <v>9.8039215686274508E-3</v>
      </c>
      <c r="L10">
        <f t="shared" si="3"/>
        <v>2.1786492374727667E-3</v>
      </c>
      <c r="N10" s="5"/>
      <c r="T10">
        <v>30.24</v>
      </c>
      <c r="U10">
        <v>26.56</v>
      </c>
      <c r="V10">
        <v>35.1</v>
      </c>
      <c r="W10">
        <v>31.77</v>
      </c>
      <c r="X10">
        <v>33.07</v>
      </c>
      <c r="Y10">
        <v>30.71</v>
      </c>
      <c r="Z10">
        <v>49.08</v>
      </c>
      <c r="AA10">
        <v>26.22</v>
      </c>
      <c r="AB10">
        <v>29.64</v>
      </c>
    </row>
    <row r="11" spans="1:28">
      <c r="A11" s="6">
        <v>52.21</v>
      </c>
      <c r="B11" s="1"/>
      <c r="C11" s="1"/>
      <c r="D11" s="1"/>
      <c r="E11" s="1"/>
      <c r="F11" s="1"/>
      <c r="G11" s="1"/>
      <c r="H11" s="1"/>
      <c r="I11" s="1"/>
      <c r="J11" s="8">
        <f>SUM(_xlfn.ANCHORARRAY(J2))</f>
        <v>102</v>
      </c>
      <c r="K11" s="8">
        <f>SUM(K2:K10)</f>
        <v>0.99999999999999989</v>
      </c>
      <c r="N11" t="s">
        <v>13</v>
      </c>
      <c r="O11" t="s">
        <v>8</v>
      </c>
      <c r="P11" t="s">
        <v>39</v>
      </c>
      <c r="Q11" t="s">
        <v>38</v>
      </c>
      <c r="R11" t="s">
        <v>37</v>
      </c>
      <c r="T11">
        <v>30.16</v>
      </c>
      <c r="U11">
        <v>37.270000000000003</v>
      </c>
      <c r="V11">
        <v>34.29</v>
      </c>
      <c r="W11">
        <v>45.91</v>
      </c>
      <c r="X11">
        <v>21.18</v>
      </c>
      <c r="Y11">
        <v>32.799999999999997</v>
      </c>
      <c r="Z11">
        <v>28.92</v>
      </c>
      <c r="AA11">
        <v>31.51</v>
      </c>
      <c r="AB11">
        <v>27.96</v>
      </c>
    </row>
    <row r="12" spans="1:28">
      <c r="A12" s="6">
        <v>18.82</v>
      </c>
      <c r="B12" s="1"/>
      <c r="C12" s="1" t="s">
        <v>16</v>
      </c>
      <c r="D12" t="s">
        <v>17</v>
      </c>
      <c r="E12" s="1">
        <f>AVERAGE(A2:A2000)</f>
        <v>34.095980392156861</v>
      </c>
      <c r="F12" s="1"/>
      <c r="G12" s="1"/>
      <c r="H12" s="1"/>
      <c r="I12" s="1"/>
      <c r="N12" s="5">
        <f>H2</f>
        <v>17</v>
      </c>
      <c r="O12" s="5">
        <f>I3</f>
        <v>26</v>
      </c>
      <c r="P12">
        <f>J2+J3</f>
        <v>13</v>
      </c>
      <c r="Q12">
        <f>Q2+Q3</f>
        <v>12.314858764938144</v>
      </c>
      <c r="R12">
        <f>(P12-Q12)^2 / Q12</f>
        <v>3.8118058919081987E-2</v>
      </c>
      <c r="T12">
        <v>33.68</v>
      </c>
      <c r="U12">
        <v>31.78</v>
      </c>
      <c r="V12">
        <v>27.02</v>
      </c>
      <c r="W12">
        <v>33.340000000000003</v>
      </c>
      <c r="X12">
        <v>28.54</v>
      </c>
      <c r="Y12">
        <v>30.91</v>
      </c>
      <c r="Z12">
        <v>29.71</v>
      </c>
      <c r="AA12">
        <v>38.24</v>
      </c>
      <c r="AB12">
        <v>33.53</v>
      </c>
    </row>
    <row r="13" spans="1:28">
      <c r="A13" s="4">
        <v>25.19</v>
      </c>
      <c r="B13" s="2"/>
      <c r="C13" s="1"/>
      <c r="D13" t="s">
        <v>18</v>
      </c>
      <c r="E13">
        <f>_xlfn.VAR.S(A2:A2000)</f>
        <v>51.844053979809331</v>
      </c>
      <c r="F13" s="1"/>
      <c r="G13" s="1"/>
      <c r="H13" s="1"/>
      <c r="I13" s="1"/>
      <c r="N13" s="5">
        <f>O12</f>
        <v>26</v>
      </c>
      <c r="O13" s="3">
        <f>N13+$E$7</f>
        <v>30.5</v>
      </c>
      <c r="P13">
        <f>J4</f>
        <v>19</v>
      </c>
      <c r="Q13">
        <f>Q4</f>
        <v>18.219690056678765</v>
      </c>
      <c r="R13">
        <f t="shared" ref="R13:R17" si="9">(P13-Q13)^2 / Q13</f>
        <v>3.3418988234807642E-2</v>
      </c>
      <c r="V13">
        <v>38.21</v>
      </c>
      <c r="W13">
        <v>37.74</v>
      </c>
      <c r="X13">
        <v>35.32</v>
      </c>
      <c r="Y13">
        <v>39.659999999999997</v>
      </c>
      <c r="Z13">
        <v>48.26</v>
      </c>
      <c r="AA13">
        <v>32.18</v>
      </c>
      <c r="AB13">
        <v>24.97</v>
      </c>
    </row>
    <row r="14" spans="1:28">
      <c r="A14" s="4">
        <v>33.6</v>
      </c>
      <c r="B14" s="2"/>
      <c r="C14" s="2"/>
      <c r="D14" t="s">
        <v>19</v>
      </c>
      <c r="E14">
        <f>_xlfn.STDEV.P(A2:A2000)</f>
        <v>7.1648990879698813</v>
      </c>
      <c r="F14" s="1"/>
      <c r="G14" s="1"/>
      <c r="H14" s="1"/>
      <c r="I14" s="1"/>
      <c r="N14" s="5">
        <f>O13</f>
        <v>30.5</v>
      </c>
      <c r="O14" s="3">
        <f>N14+$E$7</f>
        <v>35</v>
      </c>
      <c r="P14">
        <f>J5</f>
        <v>27</v>
      </c>
      <c r="Q14">
        <f>Q5</f>
        <v>24.71762756493407</v>
      </c>
      <c r="R14">
        <f t="shared" si="9"/>
        <v>0.21074934957507438</v>
      </c>
      <c r="X14">
        <v>39.880000000000003</v>
      </c>
      <c r="Y14">
        <v>36.78</v>
      </c>
      <c r="Z14">
        <v>34.58</v>
      </c>
      <c r="AA14">
        <v>34.08</v>
      </c>
      <c r="AB14">
        <v>23.46</v>
      </c>
    </row>
    <row r="15" spans="1:28">
      <c r="A15" s="5">
        <v>28.25</v>
      </c>
      <c r="D15" t="s">
        <v>45</v>
      </c>
      <c r="E15" s="1">
        <f>_xlfn.VAR.P(A2:A2000)</f>
        <v>51.335778940791641</v>
      </c>
      <c r="N15" s="5">
        <f>O14</f>
        <v>35</v>
      </c>
      <c r="O15" s="3">
        <f>N15+$E$7</f>
        <v>39.5</v>
      </c>
      <c r="P15">
        <f>J6</f>
        <v>22</v>
      </c>
      <c r="Q15">
        <f>Q6</f>
        <v>22.893222351202237</v>
      </c>
      <c r="R15">
        <f t="shared" si="9"/>
        <v>3.4850758728831956E-2</v>
      </c>
    </row>
    <row r="16" spans="1:28">
      <c r="A16" s="5">
        <v>40.85</v>
      </c>
      <c r="C16" t="s">
        <v>28</v>
      </c>
      <c r="E16" s="1"/>
      <c r="N16" s="5">
        <f>O15</f>
        <v>39.5</v>
      </c>
      <c r="O16" s="3">
        <f>N16+$E$7</f>
        <v>44</v>
      </c>
      <c r="P16">
        <f>J7</f>
        <v>10</v>
      </c>
      <c r="Q16">
        <f>Q7</f>
        <v>14.475201577386342</v>
      </c>
      <c r="R16">
        <f t="shared" si="9"/>
        <v>1.3835682391828477</v>
      </c>
    </row>
    <row r="17" spans="1:18">
      <c r="A17" s="5">
        <v>34.880000000000003</v>
      </c>
      <c r="C17" t="s">
        <v>20</v>
      </c>
      <c r="D17" t="s">
        <v>21</v>
      </c>
      <c r="E17" s="1">
        <v>0.9</v>
      </c>
      <c r="N17" s="5">
        <f>O16</f>
        <v>44</v>
      </c>
      <c r="O17" s="3">
        <f>I9</f>
        <v>53</v>
      </c>
      <c r="P17">
        <f>J8+J9</f>
        <v>10</v>
      </c>
      <c r="Q17">
        <f>Q8+Q9</f>
        <v>8.0861095351091539</v>
      </c>
      <c r="R17">
        <f t="shared" si="9"/>
        <v>0.45299617766687267</v>
      </c>
    </row>
    <row r="18" spans="1:18">
      <c r="A18" s="5">
        <v>47.07</v>
      </c>
      <c r="D18" t="s">
        <v>22</v>
      </c>
      <c r="E18" s="1">
        <f>1-E17</f>
        <v>9.9999999999999978E-2</v>
      </c>
      <c r="R18" t="s">
        <v>40</v>
      </c>
    </row>
    <row r="19" spans="1:18">
      <c r="A19" s="5">
        <v>45.64</v>
      </c>
      <c r="D19" t="s">
        <v>23</v>
      </c>
      <c r="E19" s="1">
        <f xml:space="preserve"> 1 - E18 / 2</f>
        <v>0.95</v>
      </c>
      <c r="R19">
        <f>SUM(R12:R17)</f>
        <v>2.1537015723075164</v>
      </c>
    </row>
    <row r="20" spans="1:18">
      <c r="A20" s="5">
        <v>35.74</v>
      </c>
      <c r="D20" t="s">
        <v>24</v>
      </c>
      <c r="E20">
        <f>TINV(E18,E1-1)</f>
        <v>1.660080630411789</v>
      </c>
      <c r="R20" t="s">
        <v>41</v>
      </c>
    </row>
    <row r="21" spans="1:18">
      <c r="A21" s="5">
        <v>36.590000000000003</v>
      </c>
      <c r="D21" t="s">
        <v>25</v>
      </c>
      <c r="E21" s="1">
        <f>E14 / SQRT(E1)</f>
        <v>0.7094307227629193</v>
      </c>
      <c r="R21" s="5">
        <f>COUNT(N12:N17) - 1 - 2</f>
        <v>3</v>
      </c>
    </row>
    <row r="22" spans="1:18">
      <c r="A22" s="5">
        <v>31.31</v>
      </c>
      <c r="D22" t="s">
        <v>26</v>
      </c>
      <c r="E22" s="10">
        <f>E12 - E20 * E21</f>
        <v>32.9182681906791</v>
      </c>
      <c r="R22" t="s">
        <v>42</v>
      </c>
    </row>
    <row r="23" spans="1:18">
      <c r="A23" s="5">
        <v>45.28</v>
      </c>
      <c r="D23" t="s">
        <v>27</v>
      </c>
      <c r="E23" s="10">
        <f>E12 + E20 * E21</f>
        <v>35.273692593634621</v>
      </c>
      <c r="R23">
        <f>CHIINV(1-E19,R21)</f>
        <v>7.8147279032511774</v>
      </c>
    </row>
    <row r="24" spans="1:18">
      <c r="A24" s="5">
        <v>25.73</v>
      </c>
      <c r="E24" s="1"/>
    </row>
    <row r="25" spans="1:18">
      <c r="A25" s="5">
        <v>24.67</v>
      </c>
      <c r="E25" s="1"/>
      <c r="R25" t="s">
        <v>43</v>
      </c>
    </row>
    <row r="26" spans="1:18">
      <c r="A26" s="5">
        <v>35.97</v>
      </c>
      <c r="C26" t="s">
        <v>29</v>
      </c>
      <c r="E26" s="1"/>
      <c r="R26" t="s">
        <v>44</v>
      </c>
    </row>
    <row r="27" spans="1:18">
      <c r="A27">
        <v>27.06</v>
      </c>
      <c r="D27" t="s">
        <v>30</v>
      </c>
      <c r="E27" s="1">
        <f>CHIINV(E19,E1-1)</f>
        <v>78.813183908344044</v>
      </c>
    </row>
    <row r="28" spans="1:18">
      <c r="A28" s="5">
        <v>23.33</v>
      </c>
      <c r="D28" t="s">
        <v>31</v>
      </c>
      <c r="E28" s="1">
        <f>CHIINV(E18/2,E1-1)</f>
        <v>125.45841940848238</v>
      </c>
      <c r="H28" t="s">
        <v>47</v>
      </c>
    </row>
    <row r="29" spans="1:18">
      <c r="A29" s="5">
        <v>37.619999999999997</v>
      </c>
      <c r="D29" t="s">
        <v>32</v>
      </c>
      <c r="E29" s="10">
        <f>SQRT(((E1-1)*E15) /E28)</f>
        <v>6.4286659469659604</v>
      </c>
      <c r="H29" t="s">
        <v>48</v>
      </c>
    </row>
    <row r="30" spans="1:18">
      <c r="A30" s="5">
        <v>32.61</v>
      </c>
      <c r="D30" t="s">
        <v>33</v>
      </c>
      <c r="E30" s="10">
        <f>SQRT(((E1-1)*E15) /E27)</f>
        <v>8.1109426133710407</v>
      </c>
      <c r="H30" t="s">
        <v>49</v>
      </c>
    </row>
    <row r="31" spans="1:18">
      <c r="A31" s="5">
        <v>36.61</v>
      </c>
      <c r="E31" s="1"/>
      <c r="H31" t="s">
        <v>50</v>
      </c>
    </row>
    <row r="32" spans="1:18">
      <c r="A32" s="5">
        <v>51.25</v>
      </c>
      <c r="E32" s="1"/>
      <c r="H32" t="s">
        <v>51</v>
      </c>
    </row>
    <row r="33" spans="1:8">
      <c r="A33" s="5">
        <v>40.86</v>
      </c>
      <c r="E33" s="1"/>
      <c r="H33" t="s">
        <v>52</v>
      </c>
    </row>
    <row r="34" spans="1:8">
      <c r="A34" s="5">
        <v>34.17</v>
      </c>
      <c r="E34" s="1"/>
      <c r="H34" t="s">
        <v>53</v>
      </c>
    </row>
    <row r="35" spans="1:8">
      <c r="A35" s="5">
        <v>41.71</v>
      </c>
      <c r="E35" s="1"/>
      <c r="H35" t="s">
        <v>54</v>
      </c>
    </row>
    <row r="36" spans="1:8">
      <c r="A36" s="5">
        <v>26.86</v>
      </c>
      <c r="E36" s="1"/>
    </row>
    <row r="37" spans="1:8">
      <c r="A37" s="5">
        <v>40.549999999999997</v>
      </c>
      <c r="E37" s="1"/>
    </row>
    <row r="38" spans="1:8">
      <c r="A38" s="5">
        <v>33.869999999999997</v>
      </c>
      <c r="E38" s="1"/>
    </row>
    <row r="39" spans="1:8">
      <c r="A39">
        <v>28.3</v>
      </c>
      <c r="E39" s="1"/>
    </row>
    <row r="40" spans="1:8">
      <c r="A40">
        <v>28.4</v>
      </c>
      <c r="E40" s="1"/>
    </row>
    <row r="41" spans="1:8">
      <c r="A41" s="5">
        <v>32.71</v>
      </c>
      <c r="E41" s="1"/>
    </row>
    <row r="42" spans="1:8">
      <c r="A42">
        <v>17.5</v>
      </c>
      <c r="E42" s="1"/>
    </row>
    <row r="43" spans="1:8">
      <c r="A43" s="5">
        <v>27.53</v>
      </c>
      <c r="E43" s="1"/>
    </row>
    <row r="44" spans="1:8">
      <c r="A44" s="5">
        <v>27.24</v>
      </c>
      <c r="E44" s="1"/>
    </row>
    <row r="45" spans="1:8">
      <c r="A45" s="5">
        <v>32.409999999999997</v>
      </c>
      <c r="E45" s="1"/>
    </row>
    <row r="46" spans="1:8">
      <c r="A46" s="5">
        <v>45.76</v>
      </c>
      <c r="E46" s="1"/>
    </row>
    <row r="47" spans="1:8">
      <c r="A47" s="5">
        <v>42.07</v>
      </c>
      <c r="E47" s="1"/>
    </row>
    <row r="48" spans="1:8">
      <c r="A48" s="5">
        <v>36.950000000000003</v>
      </c>
      <c r="E48" s="1"/>
    </row>
    <row r="49" spans="1:5">
      <c r="A49" s="5">
        <v>53.22</v>
      </c>
      <c r="E49" s="1"/>
    </row>
    <row r="50" spans="1:5">
      <c r="A50" s="5">
        <v>24.51</v>
      </c>
      <c r="E50" s="1"/>
    </row>
    <row r="51" spans="1:5">
      <c r="A51" s="5">
        <v>44.19</v>
      </c>
      <c r="E51" s="1"/>
    </row>
    <row r="52" spans="1:5">
      <c r="A52" s="5">
        <v>33.69</v>
      </c>
      <c r="E52" s="1"/>
    </row>
    <row r="53" spans="1:5">
      <c r="A53" s="5">
        <v>33.26</v>
      </c>
      <c r="E53" s="1"/>
    </row>
    <row r="54" spans="1:5">
      <c r="A54" s="5">
        <v>35.979999999999997</v>
      </c>
      <c r="E54" s="1"/>
    </row>
    <row r="55" spans="1:5">
      <c r="A55" s="5">
        <v>37.99</v>
      </c>
      <c r="E55" s="1"/>
    </row>
    <row r="56" spans="1:5">
      <c r="A56" s="5">
        <v>39.54</v>
      </c>
      <c r="E56" s="1"/>
    </row>
    <row r="57" spans="1:5">
      <c r="A57" s="5">
        <v>41.22</v>
      </c>
      <c r="E57" s="1"/>
    </row>
    <row r="58" spans="1:5">
      <c r="A58" s="5">
        <v>27.54</v>
      </c>
      <c r="E58" s="1"/>
    </row>
    <row r="59" spans="1:5">
      <c r="A59" s="5">
        <v>37.090000000000003</v>
      </c>
      <c r="E59" s="1"/>
    </row>
    <row r="60" spans="1:5">
      <c r="A60" s="5">
        <v>25.73</v>
      </c>
      <c r="E60" s="1"/>
    </row>
    <row r="61" spans="1:5">
      <c r="A61" s="5">
        <v>43.23</v>
      </c>
      <c r="E61" s="1"/>
    </row>
    <row r="62" spans="1:5">
      <c r="A62" s="5">
        <v>30.88</v>
      </c>
      <c r="E62" s="1"/>
    </row>
    <row r="63" spans="1:5">
      <c r="A63" s="5">
        <v>35.130000000000003</v>
      </c>
      <c r="E63" s="1"/>
    </row>
    <row r="64" spans="1:5">
      <c r="A64">
        <v>30.9</v>
      </c>
      <c r="E64" s="1"/>
    </row>
    <row r="65" spans="1:5">
      <c r="A65" s="5">
        <v>30.24</v>
      </c>
      <c r="E65" s="1"/>
    </row>
    <row r="66" spans="1:5">
      <c r="A66" s="5">
        <v>26.56</v>
      </c>
      <c r="E66" s="1"/>
    </row>
    <row r="67" spans="1:5">
      <c r="A67" s="5">
        <v>35.1</v>
      </c>
      <c r="E67" s="1"/>
    </row>
    <row r="68" spans="1:5">
      <c r="A68" s="5">
        <v>31.77</v>
      </c>
      <c r="E68" s="1"/>
    </row>
    <row r="69" spans="1:5">
      <c r="A69" s="5">
        <v>33.07</v>
      </c>
      <c r="E69" s="1"/>
    </row>
    <row r="70" spans="1:5">
      <c r="A70" s="5">
        <v>30.71</v>
      </c>
      <c r="E70" s="1"/>
    </row>
    <row r="71" spans="1:5">
      <c r="A71" s="5">
        <v>49.08</v>
      </c>
      <c r="E71" s="1"/>
    </row>
    <row r="72" spans="1:5">
      <c r="A72" s="5">
        <v>26.22</v>
      </c>
      <c r="E72" s="1"/>
    </row>
    <row r="73" spans="1:5">
      <c r="A73" s="5">
        <v>29.64</v>
      </c>
      <c r="E73" s="1"/>
    </row>
    <row r="74" spans="1:5">
      <c r="A74" s="5">
        <v>30.16</v>
      </c>
      <c r="E74" s="1"/>
    </row>
    <row r="75" spans="1:5">
      <c r="A75" s="5">
        <v>37.270000000000003</v>
      </c>
      <c r="E75" s="1"/>
    </row>
    <row r="76" spans="1:5">
      <c r="A76" s="5">
        <v>34.29</v>
      </c>
      <c r="E76" s="1"/>
    </row>
    <row r="77" spans="1:5">
      <c r="A77" s="5">
        <v>45.91</v>
      </c>
      <c r="E77" s="1"/>
    </row>
    <row r="78" spans="1:5">
      <c r="A78" s="5">
        <v>21.18</v>
      </c>
      <c r="E78" s="1"/>
    </row>
    <row r="79" spans="1:5">
      <c r="A79" s="5">
        <v>32.799999999999997</v>
      </c>
      <c r="E79" s="1"/>
    </row>
    <row r="80" spans="1:5">
      <c r="A80" s="5">
        <v>28.92</v>
      </c>
      <c r="E80" s="1"/>
    </row>
    <row r="81" spans="1:5">
      <c r="A81" s="5">
        <v>31.51</v>
      </c>
      <c r="E81" s="1"/>
    </row>
    <row r="82" spans="1:5">
      <c r="A82" s="5">
        <v>27.96</v>
      </c>
      <c r="E82" s="1"/>
    </row>
    <row r="83" spans="1:5">
      <c r="A83" s="5">
        <v>33.68</v>
      </c>
      <c r="E83" s="1"/>
    </row>
    <row r="84" spans="1:5">
      <c r="A84" s="5">
        <v>31.78</v>
      </c>
      <c r="E84" s="1"/>
    </row>
    <row r="85" spans="1:5">
      <c r="A85">
        <v>27.02</v>
      </c>
      <c r="E85" s="1"/>
    </row>
    <row r="86" spans="1:5">
      <c r="A86" s="5">
        <v>33.340000000000003</v>
      </c>
      <c r="E86" s="1"/>
    </row>
    <row r="87" spans="1:5">
      <c r="A87" s="5">
        <v>28.54</v>
      </c>
      <c r="E87" s="1"/>
    </row>
    <row r="88" spans="1:5">
      <c r="A88" s="5">
        <v>30.91</v>
      </c>
      <c r="E88" s="1"/>
    </row>
    <row r="89" spans="1:5">
      <c r="A89" s="5">
        <v>29.71</v>
      </c>
      <c r="E89" s="1"/>
    </row>
    <row r="90" spans="1:5">
      <c r="A90" s="5">
        <v>38.24</v>
      </c>
      <c r="E90" s="1"/>
    </row>
    <row r="91" spans="1:5">
      <c r="A91" s="5">
        <v>33.53</v>
      </c>
      <c r="E91" s="1"/>
    </row>
    <row r="92" spans="1:5">
      <c r="A92" s="5">
        <v>38.21</v>
      </c>
      <c r="E92" s="1"/>
    </row>
    <row r="93" spans="1:5">
      <c r="A93" s="5">
        <v>37.74</v>
      </c>
      <c r="E93" s="1"/>
    </row>
    <row r="94" spans="1:5">
      <c r="A94" s="5">
        <v>35.32</v>
      </c>
      <c r="E94" s="1"/>
    </row>
    <row r="95" spans="1:5">
      <c r="A95" s="5">
        <v>39.659999999999997</v>
      </c>
      <c r="E95" s="1"/>
    </row>
    <row r="96" spans="1:5">
      <c r="A96" s="5">
        <v>48.26</v>
      </c>
      <c r="E96" s="1"/>
    </row>
    <row r="97" spans="1:5">
      <c r="A97" s="5">
        <v>32.18</v>
      </c>
      <c r="E97" s="1"/>
    </row>
    <row r="98" spans="1:5">
      <c r="A98" s="5">
        <v>24.97</v>
      </c>
      <c r="E98" s="1"/>
    </row>
    <row r="99" spans="1:5">
      <c r="A99" s="5">
        <v>39.880000000000003</v>
      </c>
      <c r="E99" s="1"/>
    </row>
    <row r="100" spans="1:5">
      <c r="A100" s="5">
        <v>36.78</v>
      </c>
      <c r="E100" s="1"/>
    </row>
    <row r="101" spans="1:5">
      <c r="A101" s="5">
        <v>34.58</v>
      </c>
      <c r="E101" s="1"/>
    </row>
    <row r="102" spans="1:5">
      <c r="A102" s="5">
        <v>34.08</v>
      </c>
      <c r="E102" s="1"/>
    </row>
    <row r="103" spans="1:5">
      <c r="A103" s="5">
        <v>23.46</v>
      </c>
      <c r="E10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EAAD-9AF1-42EA-8D36-6A5D61582537}">
  <dimension ref="A1:O15"/>
  <sheetViews>
    <sheetView zoomScale="97" workbookViewId="0">
      <selection activeCell="P12" sqref="P12"/>
    </sheetView>
  </sheetViews>
  <sheetFormatPr defaultRowHeight="14.4"/>
  <sheetData>
    <row r="1" spans="1:15" ht="15" thickBot="1">
      <c r="O1" t="s">
        <v>59</v>
      </c>
    </row>
    <row r="2" spans="1:15" ht="15.6">
      <c r="A2" s="11" t="s">
        <v>55</v>
      </c>
      <c r="G2" s="11" t="s">
        <v>57</v>
      </c>
    </row>
    <row r="5" spans="1:15">
      <c r="O5" t="s">
        <v>60</v>
      </c>
    </row>
    <row r="6" spans="1:15">
      <c r="O6" t="s">
        <v>61</v>
      </c>
    </row>
    <row r="7" spans="1:15" ht="15" thickBot="1"/>
    <row r="8" spans="1:15" ht="15.6">
      <c r="A8" s="11" t="s">
        <v>56</v>
      </c>
      <c r="O8" t="s">
        <v>62</v>
      </c>
    </row>
    <row r="11" spans="1:15" ht="15" thickBot="1"/>
    <row r="12" spans="1:15" ht="15.6">
      <c r="G12" s="11" t="s">
        <v>58</v>
      </c>
    </row>
    <row r="13" spans="1:15" ht="15" thickBot="1"/>
    <row r="14" spans="1:15" ht="15.6">
      <c r="A14" s="11" t="s">
        <v>45</v>
      </c>
    </row>
    <row r="15" spans="1:15">
      <c r="O15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Формулы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Макс Тер</cp:lastModifiedBy>
  <dcterms:created xsi:type="dcterms:W3CDTF">2015-06-05T18:17:20Z</dcterms:created>
  <dcterms:modified xsi:type="dcterms:W3CDTF">2026-04-02T14:52:05Z</dcterms:modified>
</cp:coreProperties>
</file>