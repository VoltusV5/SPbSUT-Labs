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urrent\Educational activities\Proga\university_labs\2_2_course\discretka\Pavel Vladimirovich\"/>
    </mc:Choice>
  </mc:AlternateContent>
  <xr:revisionPtr revIDLastSave="0" documentId="13_ncr:1_{E02DFB55-6B97-46DC-9974-79C9BAD4FFD6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Данные" sheetId="1" r:id="rId1"/>
    <sheet name="Вариационный ряд" sheetId="2" r:id="rId2"/>
    <sheet name="Интервальный ряд" sheetId="3" r:id="rId3"/>
    <sheet name="ЭФР и кумулята" sheetId="4" r:id="rId4"/>
    <sheet name="Оценки" sheetId="5" r:id="rId5"/>
    <sheet name="Гистограмма" sheetId="6" r:id="rId6"/>
    <sheet name="ЛР7" sheetId="7" r:id="rId7"/>
  </sheets>
  <definedNames>
    <definedName name="X">Данные!$A$13:$A$123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7" l="1"/>
  <c r="B43" i="7"/>
  <c r="B42" i="7"/>
  <c r="B40" i="7"/>
  <c r="B39" i="7"/>
  <c r="B38" i="7"/>
  <c r="F10" i="7"/>
  <c r="A17" i="4"/>
  <c r="A16" i="4"/>
  <c r="E4" i="4"/>
  <c r="D5" i="4"/>
  <c r="D4" i="4"/>
  <c r="D34" i="7"/>
  <c r="D33" i="7"/>
  <c r="C24" i="7"/>
  <c r="C42" i="7"/>
  <c r="D31" i="7"/>
  <c r="C31" i="7"/>
  <c r="B31" i="7"/>
  <c r="A31" i="7"/>
  <c r="F18" i="7"/>
  <c r="F16" i="7"/>
  <c r="F14" i="7"/>
  <c r="F15" i="7"/>
  <c r="E11" i="7"/>
  <c r="E12" i="7"/>
  <c r="E13" i="7"/>
  <c r="E14" i="7"/>
  <c r="E15" i="7"/>
  <c r="E10" i="7"/>
  <c r="D14" i="7"/>
  <c r="D15" i="7"/>
  <c r="D11" i="7"/>
  <c r="D12" i="7"/>
  <c r="D13" i="7"/>
  <c r="D10" i="7"/>
  <c r="C11" i="7"/>
  <c r="C12" i="7"/>
  <c r="C13" i="7"/>
  <c r="C14" i="7"/>
  <c r="C15" i="7"/>
  <c r="C10" i="7"/>
  <c r="B11" i="7"/>
  <c r="B12" i="7"/>
  <c r="B13" i="7"/>
  <c r="B14" i="7"/>
  <c r="B15" i="7"/>
  <c r="B10" i="7"/>
  <c r="B3" i="7"/>
  <c r="C10" i="6"/>
  <c r="B10" i="6"/>
  <c r="A10" i="6"/>
  <c r="B14" i="5"/>
  <c r="B13" i="5"/>
  <c r="B11" i="5" a="1"/>
  <c r="B11" i="5" s="1"/>
  <c r="B12" i="5"/>
  <c r="B10" i="5" a="1"/>
  <c r="B10" i="5" s="1"/>
  <c r="B9" i="5"/>
  <c r="B8" i="5"/>
  <c r="B7" i="5"/>
  <c r="B6" i="5" a="1"/>
  <c r="B6" i="5" s="1"/>
  <c r="B5" i="5"/>
  <c r="B42" i="4"/>
  <c r="A42" i="4"/>
  <c r="A41" i="4"/>
  <c r="B41" i="4"/>
  <c r="A40" i="4"/>
  <c r="B40" i="4"/>
  <c r="B38" i="4"/>
  <c r="B37" i="4"/>
  <c r="B39" i="4"/>
  <c r="B23" i="4"/>
  <c r="A23" i="4"/>
  <c r="E10" i="4"/>
  <c r="E9" i="4"/>
  <c r="D10" i="4"/>
  <c r="D9" i="4"/>
  <c r="C10" i="4"/>
  <c r="B10" i="4"/>
  <c r="B4" i="4"/>
  <c r="B19" i="3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H22" i="3"/>
  <c r="C18" i="3"/>
  <c r="D18" i="3"/>
  <c r="E18" i="3"/>
  <c r="F18" i="3"/>
  <c r="G18" i="3"/>
  <c r="H18" i="3"/>
  <c r="B18" i="3"/>
  <c r="H17" i="3"/>
  <c r="H7" i="3"/>
  <c r="G17" i="3"/>
  <c r="G8" i="3"/>
  <c r="F17" i="3"/>
  <c r="F8" i="3"/>
  <c r="F14" i="3" s="1"/>
  <c r="E17" i="3"/>
  <c r="D17" i="3"/>
  <c r="D7" i="3"/>
  <c r="C17" i="3"/>
  <c r="B17" i="3"/>
  <c r="A21" i="3"/>
  <c r="A22" i="3"/>
  <c r="G13" i="3"/>
  <c r="H13" i="3" s="1"/>
  <c r="F13" i="3"/>
  <c r="E13" i="3"/>
  <c r="D13" i="3"/>
  <c r="C13" i="3"/>
  <c r="C12" i="3"/>
  <c r="B13" i="3" s="1"/>
  <c r="C10" i="3"/>
  <c r="C7" i="3"/>
  <c r="B8" i="1"/>
  <c r="B6" i="1"/>
  <c r="B5" i="1"/>
  <c r="A20" i="3"/>
  <c r="A17" i="3"/>
  <c r="A18" i="3"/>
  <c r="A19" i="3"/>
  <c r="B16" i="3"/>
  <c r="C16" i="3"/>
  <c r="D16" i="3"/>
  <c r="E16" i="3"/>
  <c r="F16" i="3"/>
  <c r="G16" i="3"/>
  <c r="H16" i="3"/>
  <c r="A16" i="3"/>
  <c r="C4" i="2"/>
  <c r="A4" i="2" a="1"/>
  <c r="A4" i="2" s="1"/>
  <c r="B4" i="1"/>
  <c r="B45" i="7" l="1"/>
  <c r="B7" i="1"/>
  <c r="B9" i="1" s="1"/>
  <c r="N4" i="3"/>
  <c r="B4" i="5"/>
  <c r="K4" i="3"/>
  <c r="L4" i="3"/>
  <c r="M4" i="3"/>
  <c r="B7" i="3"/>
  <c r="A30" i="7" l="1"/>
  <c r="O4" i="3"/>
  <c r="A38" i="4"/>
  <c r="A22" i="4"/>
  <c r="A39" i="4"/>
  <c r="B5" i="7"/>
  <c r="B15" i="5"/>
  <c r="A24" i="7"/>
  <c r="A27" i="4"/>
  <c r="C9" i="3" l="1"/>
  <c r="C8" i="3"/>
  <c r="A18" i="4" s="1"/>
  <c r="B11" i="3"/>
  <c r="C11" i="3"/>
  <c r="A36" i="4" s="1"/>
  <c r="E6" i="4"/>
  <c r="E5" i="4" l="1"/>
  <c r="A32" i="4"/>
  <c r="B10" i="3"/>
  <c r="F10" i="3" s="1"/>
  <c r="D11" i="3"/>
  <c r="A20" i="4"/>
  <c r="A28" i="7"/>
  <c r="A30" i="4"/>
  <c r="A19" i="4"/>
  <c r="A29" i="4"/>
  <c r="E7" i="3"/>
  <c r="F11" i="3"/>
  <c r="E7" i="4"/>
  <c r="B12" i="3"/>
  <c r="D12" i="3" s="1"/>
  <c r="A34" i="4"/>
  <c r="A37" i="4"/>
  <c r="F7" i="3"/>
  <c r="A27" i="7"/>
  <c r="E11" i="3"/>
  <c r="A8" i="6" s="1"/>
  <c r="E8" i="4"/>
  <c r="A33" i="4"/>
  <c r="B8" i="3"/>
  <c r="A29" i="7"/>
  <c r="A28" i="4"/>
  <c r="A26" i="7"/>
  <c r="A31" i="4"/>
  <c r="A21" i="4"/>
  <c r="B9" i="3"/>
  <c r="A35" i="4"/>
  <c r="A25" i="7"/>
  <c r="G7" i="3" l="1"/>
  <c r="E10" i="3"/>
  <c r="B7" i="4" s="1"/>
  <c r="D10" i="3"/>
  <c r="A4" i="6"/>
  <c r="D9" i="3"/>
  <c r="G10" i="3"/>
  <c r="H10" i="3" s="1"/>
  <c r="B8" i="4"/>
  <c r="F12" i="3"/>
  <c r="E12" i="3"/>
  <c r="A9" i="6" s="1"/>
  <c r="G11" i="3"/>
  <c r="H11" i="3" s="1"/>
  <c r="B8" i="6" s="1"/>
  <c r="F9" i="3"/>
  <c r="D8" i="3"/>
  <c r="E8" i="3"/>
  <c r="E9" i="3"/>
  <c r="A7" i="6"/>
  <c r="B4" i="6" l="1"/>
  <c r="A6" i="6"/>
  <c r="C4" i="4"/>
  <c r="C8" i="4"/>
  <c r="B9" i="4"/>
  <c r="G12" i="3"/>
  <c r="C9" i="4" s="1"/>
  <c r="G9" i="3"/>
  <c r="B6" i="4"/>
  <c r="A5" i="6"/>
  <c r="B5" i="4"/>
  <c r="G14" i="3"/>
  <c r="C7" i="4"/>
  <c r="B7" i="6"/>
  <c r="H9" i="3" l="1"/>
  <c r="H12" i="3"/>
  <c r="B9" i="6" s="1"/>
  <c r="B30" i="4"/>
  <c r="B29" i="4"/>
  <c r="B17" i="4"/>
  <c r="B25" i="7"/>
  <c r="C6" i="4"/>
  <c r="C5" i="4"/>
  <c r="H8" i="3"/>
  <c r="B5" i="6" l="1"/>
  <c r="B6" i="6"/>
  <c r="D6" i="4"/>
  <c r="B18" i="4"/>
  <c r="B26" i="7"/>
  <c r="B31" i="4"/>
  <c r="B32" i="4"/>
  <c r="C5" i="6" l="1"/>
  <c r="C9" i="6"/>
  <c r="C6" i="6"/>
  <c r="C8" i="6"/>
  <c r="C4" i="6"/>
  <c r="B4" i="7"/>
  <c r="C7" i="6"/>
  <c r="C30" i="7"/>
  <c r="B27" i="7"/>
  <c r="B34" i="4"/>
  <c r="D7" i="4"/>
  <c r="B19" i="4"/>
  <c r="B33" i="4"/>
  <c r="C29" i="7" l="1"/>
  <c r="C26" i="7"/>
  <c r="D26" i="7" s="1"/>
  <c r="D24" i="7"/>
  <c r="D32" i="7" s="1"/>
  <c r="C25" i="7"/>
  <c r="D25" i="7" s="1"/>
  <c r="C28" i="7"/>
  <c r="F11" i="7"/>
  <c r="F12" i="7"/>
  <c r="F13" i="7"/>
  <c r="C27" i="7"/>
  <c r="D27" i="7" s="1"/>
  <c r="B35" i="4"/>
  <c r="B20" i="4"/>
  <c r="B28" i="7"/>
  <c r="B36" i="4"/>
  <c r="D8" i="4"/>
  <c r="B21" i="4" s="1"/>
  <c r="F19" i="7" l="1"/>
  <c r="D28" i="7"/>
  <c r="B29" i="7"/>
  <c r="D29" i="7" s="1"/>
  <c r="B30" i="7" l="1"/>
  <c r="D30" i="7" s="1"/>
  <c r="B2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" authorId="0" shapeId="0" xr:uid="{00000000-0006-0000-0200-000002000000}">
      <text>
        <r>
          <rPr>
            <sz val="8"/>
            <color indexed="81"/>
            <rFont val="Tahoma"/>
            <family val="2"/>
          </rPr>
          <t>p_i* = n_i / n</t>
        </r>
      </text>
    </comment>
    <comment ref="H7" authorId="0" shapeId="0" xr:uid="{00000000-0006-0000-0200-000003000000}">
      <text>
        <r>
          <rPr>
            <sz val="8"/>
            <color indexed="81"/>
            <rFont val="Tahoma"/>
            <family val="2"/>
          </rPr>
          <t>f_i* = p_i* / 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600-000002000000}">
      <text>
        <r>
          <rPr>
            <sz val="8"/>
            <color indexed="81"/>
            <rFont val="Tahoma"/>
            <family val="2"/>
          </rPr>
          <t>H0: выборка из N(μ,σ), где μ=x̄, σ=s̄.</t>
        </r>
      </text>
    </comment>
    <comment ref="A22" authorId="0" shapeId="0" xr:uid="{00000000-0006-0000-0600-000003000000}">
      <text>
        <r>
          <rPr>
            <sz val="8"/>
            <color indexed="81"/>
            <rFont val="Tahoma"/>
            <family val="2"/>
          </rPr>
          <t>ζ_n = √n · max|F_n*(x) - F_0(x)| в граничных точках.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<sst xmlns="http://schemas.openxmlformats.org/spreadsheetml/2006/main" count="107" uniqueCount="90">
  <si>
    <t>n</t>
  </si>
  <si>
    <t>x_min</t>
  </si>
  <si>
    <t>x_max</t>
  </si>
  <si>
    <t>R = x_max - x_min</t>
  </si>
  <si>
    <t>h = R / l</t>
  </si>
  <si>
    <t>x_i</t>
  </si>
  <si>
    <t>SORT(X)</t>
  </si>
  <si>
    <t>l</t>
  </si>
  <si>
    <t>h</t>
  </si>
  <si>
    <t>i</t>
  </si>
  <si>
    <t>a_{i-1}</t>
  </si>
  <si>
    <t>a_i</t>
  </si>
  <si>
    <t>Интервал</t>
  </si>
  <si>
    <t>x~_i</t>
  </si>
  <si>
    <t>n_i</t>
  </si>
  <si>
    <t>p_i*</t>
  </si>
  <si>
    <t>f_i*</t>
  </si>
  <si>
    <t>Σ</t>
  </si>
  <si>
    <t>z_i</t>
  </si>
  <si>
    <t>Кумулята: точки (a_i, F_n*(a_i))</t>
  </si>
  <si>
    <t>F_n*(a_i)</t>
  </si>
  <si>
    <t>Эмпирическая F_n*(x): точки для ступенчатого графика</t>
  </si>
  <si>
    <t>x</t>
  </si>
  <si>
    <t>F</t>
  </si>
  <si>
    <t>Показатель</t>
  </si>
  <si>
    <t>Значение</t>
  </si>
  <si>
    <t>объем выборки</t>
  </si>
  <si>
    <t>x̄</t>
  </si>
  <si>
    <t>s^2</t>
  </si>
  <si>
    <t>s̄^2</t>
  </si>
  <si>
    <t>s̄</t>
  </si>
  <si>
    <t>μ*</t>
  </si>
  <si>
    <t>A*</t>
  </si>
  <si>
    <t>E*</t>
  </si>
  <si>
    <t>σ_A</t>
  </si>
  <si>
    <t>интервал A*</t>
  </si>
  <si>
    <t>(-2σ_A;2σ_A)</t>
  </si>
  <si>
    <t>σ_E</t>
  </si>
  <si>
    <t>интервал E*</t>
  </si>
  <si>
    <t>(-2σ_E;2σ_E)</t>
  </si>
  <si>
    <t>f_norm(x~_i)</t>
  </si>
  <si>
    <t>μ</t>
  </si>
  <si>
    <t>σ</t>
  </si>
  <si>
    <t>α</t>
  </si>
  <si>
    <t>β</t>
  </si>
  <si>
    <t>λ_q</t>
  </si>
  <si>
    <t>Критерий Пирсона (χ²)</t>
  </si>
  <si>
    <t>интервал</t>
  </si>
  <si>
    <t>p_i</t>
  </si>
  <si>
    <t>n p_i</t>
  </si>
  <si>
    <t>слагаемое χ²</t>
  </si>
  <si>
    <t>χ²_набл</t>
  </si>
  <si>
    <t>m=l-1-2</t>
  </si>
  <si>
    <t>χ²_кр</t>
  </si>
  <si>
    <t>решение</t>
  </si>
  <si>
    <t>Критерий Колмогорова</t>
  </si>
  <si>
    <t>F_0(a_i)</t>
  </si>
  <si>
    <t>|Δ|</t>
  </si>
  <si>
    <t>max|Δ|</t>
  </si>
  <si>
    <t>ζ_n</t>
  </si>
  <si>
    <t>сравнение</t>
  </si>
  <si>
    <t>Интервальное оценивание (β)</t>
  </si>
  <si>
    <t>ДИ для μ</t>
  </si>
  <si>
    <t>α1=(1+β)/2; α2=(1-β)/2</t>
  </si>
  <si>
    <t>ДИ для σ</t>
  </si>
  <si>
    <t>Параметры:</t>
  </si>
  <si>
    <t>Вариационный ряд и медиана</t>
  </si>
  <si>
    <t>Интервальный статистический ряд</t>
  </si>
  <si>
    <t>Эмпирическая функция распределения и кумулята</t>
  </si>
  <si>
    <t>СКВО</t>
  </si>
  <si>
    <t>Описание</t>
  </si>
  <si>
    <t>t_β</t>
  </si>
  <si>
    <t>ε</t>
  </si>
  <si>
    <t>Точечные статистические оценки</t>
  </si>
  <si>
    <t>γ1</t>
  </si>
  <si>
    <t>γ2</t>
  </si>
  <si>
    <t>μ* = Медиана(X)</t>
  </si>
  <si>
    <t>Исходная выборка X:</t>
  </si>
  <si>
    <t>выборочная дисперсия</t>
  </si>
  <si>
    <t>Выборочное среднее</t>
  </si>
  <si>
    <t>исправленная выборочная дисперсия</t>
  </si>
  <si>
    <t>медиана</t>
  </si>
  <si>
    <t>выборочная асимметрия</t>
  </si>
  <si>
    <t>выборочный эксцесс</t>
  </si>
  <si>
    <t>стандартное отклонение асимметрии</t>
  </si>
  <si>
    <t>стандартное отклонение эксцесса</t>
  </si>
  <si>
    <t>|A*| ≤ 2σ_A и |E*| ≤ 2σ_E сл. можно предполагать нормальность.</t>
  </si>
  <si>
    <t>Гистограмма, полигон и теоретическая кривая</t>
  </si>
  <si>
    <t>Пирсон, Колмогоров, интервальные оценки</t>
  </si>
  <si>
    <t>первичная обработка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</si>
</sst>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8"/>
      <color indexed="81"/>
      <name val="Tahoma"/>
      <family val="2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4" fillId="0" borderId="0" xfId="0" applyFont="1"/>
    <xf numFmtId="0" fontId="0" fillId="0" borderId="1" xfId="0" applyBorder="1"/>
    <xf numFmtId="164" fontId="0" fillId="3" borderId="1" xfId="0" applyNumberFormat="1" applyFill="1" applyBorder="1"/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Кумулята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'ЭФР и кумулята'!$A$16:$A$23</c:f>
              <c:numCache>
                <c:formatCode>0.000</c:formatCode>
                <c:ptCount val="8"/>
                <c:pt idx="0">
                  <c:v>16.97</c:v>
                </c:pt>
                <c:pt idx="1">
                  <c:v>22.148571428571429</c:v>
                </c:pt>
                <c:pt idx="2">
                  <c:v>27.327142857142857</c:v>
                </c:pt>
                <c:pt idx="3">
                  <c:v>32.505714285714284</c:v>
                </c:pt>
                <c:pt idx="4">
                  <c:v>37.684285714285714</c:v>
                </c:pt>
                <c:pt idx="5">
                  <c:v>42.862857142857145</c:v>
                </c:pt>
                <c:pt idx="6">
                  <c:v>48.041428571428568</c:v>
                </c:pt>
                <c:pt idx="7">
                  <c:v>53.22</c:v>
                </c:pt>
              </c:numCache>
            </c:numRef>
          </c:xVal>
          <c:yVal>
            <c:numRef>
              <c:f>'ЭФР и кумулята'!$B$16:$B$23</c:f>
              <c:numCache>
                <c:formatCode>0.0000</c:formatCode>
                <c:ptCount val="8"/>
                <c:pt idx="0">
                  <c:v>0</c:v>
                </c:pt>
                <c:pt idx="1">
                  <c:v>3.6036036036036036E-2</c:v>
                </c:pt>
                <c:pt idx="2">
                  <c:v>0.18018018018018017</c:v>
                </c:pt>
                <c:pt idx="3">
                  <c:v>0.44144144144144143</c:v>
                </c:pt>
                <c:pt idx="4">
                  <c:v>0.74774774774774766</c:v>
                </c:pt>
                <c:pt idx="5">
                  <c:v>0.89189189189189177</c:v>
                </c:pt>
                <c:pt idx="6">
                  <c:v>0.95495495495495486</c:v>
                </c:pt>
                <c:pt idx="7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7-4E68-BE51-FE0FD0538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F(x)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Эмпирическая функция распределения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'ЭФР и кумулята'!$A$27:$A$42</c:f>
              <c:numCache>
                <c:formatCode>0.000</c:formatCode>
                <c:ptCount val="16"/>
                <c:pt idx="0">
                  <c:v>16.97</c:v>
                </c:pt>
                <c:pt idx="1">
                  <c:v>22.148571428571429</c:v>
                </c:pt>
                <c:pt idx="2">
                  <c:v>22.148571428571429</c:v>
                </c:pt>
                <c:pt idx="3">
                  <c:v>27.327142857142857</c:v>
                </c:pt>
                <c:pt idx="4">
                  <c:v>27.327142857142857</c:v>
                </c:pt>
                <c:pt idx="5">
                  <c:v>32.505714285714284</c:v>
                </c:pt>
                <c:pt idx="6">
                  <c:v>32.505714285714284</c:v>
                </c:pt>
                <c:pt idx="7">
                  <c:v>37.684285714285714</c:v>
                </c:pt>
                <c:pt idx="8">
                  <c:v>37.684285714285714</c:v>
                </c:pt>
                <c:pt idx="9">
                  <c:v>42.862857142857145</c:v>
                </c:pt>
                <c:pt idx="10">
                  <c:v>42.862857142857145</c:v>
                </c:pt>
                <c:pt idx="11">
                  <c:v>48.041428571428568</c:v>
                </c:pt>
                <c:pt idx="12">
                  <c:v>48.041428571428568</c:v>
                </c:pt>
                <c:pt idx="13">
                  <c:v>53.22</c:v>
                </c:pt>
                <c:pt idx="14">
                  <c:v>53.22</c:v>
                </c:pt>
                <c:pt idx="15">
                  <c:v>53.22</c:v>
                </c:pt>
              </c:numCache>
            </c:numRef>
          </c:xVal>
          <c:yVal>
            <c:numRef>
              <c:f>'ЭФР и кумулята'!$B$27:$B$42</c:f>
              <c:numCache>
                <c:formatCode>0.0000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3.6036036036036036E-2</c:v>
                </c:pt>
                <c:pt idx="3">
                  <c:v>3.6036036036036036E-2</c:v>
                </c:pt>
                <c:pt idx="4">
                  <c:v>0.18018018018018017</c:v>
                </c:pt>
                <c:pt idx="5">
                  <c:v>0.18018018018018017</c:v>
                </c:pt>
                <c:pt idx="6">
                  <c:v>0.44144144144144143</c:v>
                </c:pt>
                <c:pt idx="7">
                  <c:v>0.44144144144144143</c:v>
                </c:pt>
                <c:pt idx="8">
                  <c:v>0.74774774774774766</c:v>
                </c:pt>
                <c:pt idx="9">
                  <c:v>0.74774774774774766</c:v>
                </c:pt>
                <c:pt idx="10">
                  <c:v>0.89189189189189177</c:v>
                </c:pt>
                <c:pt idx="11">
                  <c:v>0.89189189189189177</c:v>
                </c:pt>
                <c:pt idx="12">
                  <c:v>0.95495495495495486</c:v>
                </c:pt>
                <c:pt idx="13">
                  <c:v>0.95495495495495486</c:v>
                </c:pt>
                <c:pt idx="14">
                  <c:v>0.99999999999999989</c:v>
                </c:pt>
                <c:pt idx="15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0-42F5-A601-E8B10928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F(x)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Гистограмма, полигон</a:t>
            </a:r>
            <a:r>
              <a:rPr lang="ru-RU"/>
              <a:t>,</a:t>
            </a:r>
            <a:r>
              <a:rPr lang="ru-RU" baseline="0"/>
              <a:t> </a:t>
            </a:r>
            <a:r>
              <a:rPr lang="en-US"/>
              <a:t>теоретическая кривая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Гистограмма (f_i*)</c:v>
          </c:tx>
          <c:invertIfNegative val="0"/>
          <c:cat>
            <c:numRef>
              <c:f>Гистограмма!$A$4:$A$10</c:f>
              <c:numCache>
                <c:formatCode>0.000</c:formatCode>
                <c:ptCount val="7"/>
                <c:pt idx="0">
                  <c:v>19.559285714285714</c:v>
                </c:pt>
                <c:pt idx="1">
                  <c:v>24.737857142857145</c:v>
                </c:pt>
                <c:pt idx="2">
                  <c:v>29.916428571428568</c:v>
                </c:pt>
                <c:pt idx="3">
                  <c:v>35.094999999999999</c:v>
                </c:pt>
                <c:pt idx="4">
                  <c:v>40.273571428571429</c:v>
                </c:pt>
                <c:pt idx="5">
                  <c:v>45.45214285714286</c:v>
                </c:pt>
                <c:pt idx="6">
                  <c:v>50.630714285714284</c:v>
                </c:pt>
              </c:numCache>
            </c:numRef>
          </c:cat>
          <c:val>
            <c:numRef>
              <c:f>Гистограмма!$B$4:$B$9</c:f>
              <c:numCache>
                <c:formatCode>0.0000</c:formatCode>
                <c:ptCount val="6"/>
                <c:pt idx="0">
                  <c:v>6.9586828207517859E-3</c:v>
                </c:pt>
                <c:pt idx="1">
                  <c:v>2.7834731283007143E-2</c:v>
                </c:pt>
                <c:pt idx="2">
                  <c:v>5.0450450450450449E-2</c:v>
                </c:pt>
                <c:pt idx="3">
                  <c:v>5.9148803976390177E-2</c:v>
                </c:pt>
                <c:pt idx="4">
                  <c:v>2.7834731283007143E-2</c:v>
                </c:pt>
                <c:pt idx="5">
                  <c:v>1.2177694936315625E-2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8-43A6-AA14-0465FB6C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50030001"/>
        <c:axId val="50030002"/>
      </c:barChart>
      <c:lineChart>
        <c:grouping val="standard"/>
        <c:varyColors val="0"/>
        <c:ser>
          <c:idx val="1"/>
          <c:order val="1"/>
          <c:tx>
            <c:v>Полигон</c:v>
          </c:tx>
          <c:marker>
            <c:symbol val="none"/>
          </c:marker>
          <c:cat>
            <c:numRef>
              <c:f>Гистограмма!$A$4:$A$10</c:f>
              <c:numCache>
                <c:formatCode>0.000</c:formatCode>
                <c:ptCount val="7"/>
                <c:pt idx="0">
                  <c:v>19.559285714285714</c:v>
                </c:pt>
                <c:pt idx="1">
                  <c:v>24.737857142857145</c:v>
                </c:pt>
                <c:pt idx="2">
                  <c:v>29.916428571428568</c:v>
                </c:pt>
                <c:pt idx="3">
                  <c:v>35.094999999999999</c:v>
                </c:pt>
                <c:pt idx="4">
                  <c:v>40.273571428571429</c:v>
                </c:pt>
                <c:pt idx="5">
                  <c:v>45.45214285714286</c:v>
                </c:pt>
                <c:pt idx="6">
                  <c:v>50.630714285714284</c:v>
                </c:pt>
              </c:numCache>
            </c:numRef>
          </c:cat>
          <c:val>
            <c:numRef>
              <c:f>Гистограмма!$B$4:$B$9</c:f>
              <c:numCache>
                <c:formatCode>0.0000</c:formatCode>
                <c:ptCount val="6"/>
                <c:pt idx="0">
                  <c:v>6.9586828207517859E-3</c:v>
                </c:pt>
                <c:pt idx="1">
                  <c:v>2.7834731283007143E-2</c:v>
                </c:pt>
                <c:pt idx="2">
                  <c:v>5.0450450450450449E-2</c:v>
                </c:pt>
                <c:pt idx="3">
                  <c:v>5.9148803976390177E-2</c:v>
                </c:pt>
                <c:pt idx="4">
                  <c:v>2.7834731283007143E-2</c:v>
                </c:pt>
                <c:pt idx="5">
                  <c:v>1.2177694936315625E-2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8-43A6-AA14-0465FB6C0C3E}"/>
            </c:ext>
          </c:extLst>
        </c:ser>
        <c:ser>
          <c:idx val="2"/>
          <c:order val="2"/>
          <c:tx>
            <c:v>Теоретическая кривая N(μ,σ)</c:v>
          </c:tx>
          <c:marker>
            <c:symbol val="none"/>
          </c:marker>
          <c:cat>
            <c:numRef>
              <c:f>Гистограмма!$A$4:$A$10</c:f>
              <c:numCache>
                <c:formatCode>0.000</c:formatCode>
                <c:ptCount val="7"/>
                <c:pt idx="0">
                  <c:v>19.559285714285714</c:v>
                </c:pt>
                <c:pt idx="1">
                  <c:v>24.737857142857145</c:v>
                </c:pt>
                <c:pt idx="2">
                  <c:v>29.916428571428568</c:v>
                </c:pt>
                <c:pt idx="3">
                  <c:v>35.094999999999999</c:v>
                </c:pt>
                <c:pt idx="4">
                  <c:v>40.273571428571429</c:v>
                </c:pt>
                <c:pt idx="5">
                  <c:v>45.45214285714286</c:v>
                </c:pt>
                <c:pt idx="6">
                  <c:v>50.630714285714284</c:v>
                </c:pt>
              </c:numCache>
            </c:numRef>
          </c:cat>
          <c:val>
            <c:numRef>
              <c:f>Гистограмма!$C$4:$C$10</c:f>
              <c:numCache>
                <c:formatCode>0.0000</c:formatCode>
                <c:ptCount val="7"/>
                <c:pt idx="0">
                  <c:v>7.7688298742246611E-3</c:v>
                </c:pt>
                <c:pt idx="1">
                  <c:v>2.5085287329025985E-2</c:v>
                </c:pt>
                <c:pt idx="2">
                  <c:v>4.8084534290117539E-2</c:v>
                </c:pt>
                <c:pt idx="3">
                  <c:v>5.4716034424537235E-2</c:v>
                </c:pt>
                <c:pt idx="4">
                  <c:v>3.6961252503432157E-2</c:v>
                </c:pt>
                <c:pt idx="5">
                  <c:v>1.4821822598890078E-2</c:v>
                </c:pt>
                <c:pt idx="6">
                  <c:v>3.528412953481685E-3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8-43A6-AA14-0465FB6C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x~_i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плотность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15</xdr:col>
      <xdr:colOff>0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16</xdr:row>
      <xdr:rowOff>9525</xdr:rowOff>
    </xdr:from>
    <xdr:to>
      <xdr:col>12</xdr:col>
      <xdr:colOff>304139</xdr:colOff>
      <xdr:row>18</xdr:row>
      <xdr:rowOff>190430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FA9D57E-A6E3-4CC2-5BBA-758E09780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7900" y="3105150"/>
          <a:ext cx="5285714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485638</xdr:colOff>
      <xdr:row>7</xdr:row>
      <xdr:rowOff>38024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3C13880-A5EC-4F7D-72FE-C57C97935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809625"/>
          <a:ext cx="1095238" cy="6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399771</xdr:colOff>
      <xdr:row>11</xdr:row>
      <xdr:rowOff>18976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CE774CD-36E7-8A8B-47F1-66A302D2E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2675" y="1571625"/>
          <a:ext cx="2228571" cy="5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247390</xdr:colOff>
      <xdr:row>15</xdr:row>
      <xdr:rowOff>57071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BBC4382-65EE-D319-58DC-44864D784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2675" y="2333625"/>
          <a:ext cx="2076190" cy="6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14</xdr:col>
      <xdr:colOff>304800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581025</xdr:colOff>
      <xdr:row>1</xdr:row>
      <xdr:rowOff>104775</xdr:rowOff>
    </xdr:from>
    <xdr:to>
      <xdr:col>12</xdr:col>
      <xdr:colOff>304800</xdr:colOff>
      <xdr:row>7</xdr:row>
      <xdr:rowOff>147628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B88E330-8850-781E-C01F-3D157176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342900"/>
          <a:ext cx="3381375" cy="1185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workbookViewId="0">
      <selection activeCell="B21" sqref="B21"/>
    </sheetView>
  </sheetViews>
  <sheetFormatPr defaultRowHeight="15" x14ac:dyDescent="0.25"/>
  <cols>
    <col min="1" max="2" width="22.7109375" customWidth="1"/>
  </cols>
  <sheetData>
    <row r="1" spans="1:2" ht="18.75" x14ac:dyDescent="0.3">
      <c r="A1" s="1" t="s">
        <v>89</v>
      </c>
    </row>
    <row r="3" spans="1:2" x14ac:dyDescent="0.25">
      <c r="A3" s="2" t="s">
        <v>65</v>
      </c>
    </row>
    <row r="4" spans="1:2" x14ac:dyDescent="0.25">
      <c r="A4" s="2" t="s">
        <v>0</v>
      </c>
      <c r="B4" s="3">
        <f>COUNT(X)</f>
        <v>111</v>
      </c>
    </row>
    <row r="5" spans="1:2" x14ac:dyDescent="0.25">
      <c r="A5" s="2" t="s">
        <v>1</v>
      </c>
      <c r="B5" s="4">
        <f>MIN(X)</f>
        <v>16.97</v>
      </c>
    </row>
    <row r="6" spans="1:2" x14ac:dyDescent="0.25">
      <c r="A6" s="2" t="s">
        <v>2</v>
      </c>
      <c r="B6" s="4">
        <f>MAX(X)</f>
        <v>53.22</v>
      </c>
    </row>
    <row r="7" spans="1:2" x14ac:dyDescent="0.25">
      <c r="A7" s="2" t="s">
        <v>3</v>
      </c>
      <c r="B7" s="4">
        <f>B6-B5</f>
        <v>36.25</v>
      </c>
    </row>
    <row r="8" spans="1:2" x14ac:dyDescent="0.25">
      <c r="A8" s="2" t="s">
        <v>7</v>
      </c>
      <c r="B8" s="3">
        <f>INT(1+3.32*LOG10(B4))</f>
        <v>7</v>
      </c>
    </row>
    <row r="9" spans="1:2" x14ac:dyDescent="0.25">
      <c r="A9" s="2" t="s">
        <v>4</v>
      </c>
      <c r="B9" s="5">
        <f>B7/B8</f>
        <v>5.1785714285714288</v>
      </c>
    </row>
    <row r="11" spans="1:2" x14ac:dyDescent="0.25">
      <c r="A11" s="2" t="s">
        <v>77</v>
      </c>
    </row>
    <row r="12" spans="1:2" x14ac:dyDescent="0.25">
      <c r="A12" s="2" t="s">
        <v>5</v>
      </c>
    </row>
    <row r="13" spans="1:2" x14ac:dyDescent="0.25">
      <c r="A13" s="10">
        <v>38.44</v>
      </c>
    </row>
    <row r="14" spans="1:2" x14ac:dyDescent="0.25">
      <c r="A14" s="10">
        <v>36.549999999999997</v>
      </c>
    </row>
    <row r="15" spans="1:2" x14ac:dyDescent="0.25">
      <c r="A15" s="10">
        <v>52.21</v>
      </c>
    </row>
    <row r="16" spans="1:2" x14ac:dyDescent="0.25">
      <c r="A16" s="10">
        <v>35.74</v>
      </c>
    </row>
    <row r="17" spans="1:4" x14ac:dyDescent="0.25">
      <c r="A17" s="10">
        <v>37.619999999999997</v>
      </c>
    </row>
    <row r="18" spans="1:4" x14ac:dyDescent="0.25">
      <c r="A18" s="10">
        <v>33.869999999999997</v>
      </c>
    </row>
    <row r="19" spans="1:4" x14ac:dyDescent="0.25">
      <c r="A19" s="10">
        <v>42.07</v>
      </c>
    </row>
    <row r="20" spans="1:4" x14ac:dyDescent="0.25">
      <c r="A20" s="10">
        <v>39.54</v>
      </c>
    </row>
    <row r="21" spans="1:4" x14ac:dyDescent="0.25">
      <c r="A21" s="10">
        <v>30.24</v>
      </c>
    </row>
    <row r="22" spans="1:4" x14ac:dyDescent="0.25">
      <c r="A22" s="10">
        <v>30.16</v>
      </c>
    </row>
    <row r="23" spans="1:4" x14ac:dyDescent="0.25">
      <c r="A23" s="10">
        <v>33.68</v>
      </c>
    </row>
    <row r="24" spans="1:4" x14ac:dyDescent="0.25">
      <c r="A24" s="10">
        <v>30.51</v>
      </c>
      <c r="B24" s="11"/>
    </row>
    <row r="25" spans="1:4" x14ac:dyDescent="0.25">
      <c r="A25" s="10">
        <v>34.76</v>
      </c>
      <c r="B25" s="11"/>
      <c r="C25" s="11"/>
      <c r="D25" s="11"/>
    </row>
    <row r="26" spans="1:4" x14ac:dyDescent="0.25">
      <c r="A26" s="10">
        <v>18.82</v>
      </c>
    </row>
    <row r="27" spans="1:4" x14ac:dyDescent="0.25">
      <c r="A27" s="10">
        <v>36.590000000000003</v>
      </c>
    </row>
    <row r="28" spans="1:4" x14ac:dyDescent="0.25">
      <c r="A28" s="10">
        <v>32.61</v>
      </c>
    </row>
    <row r="29" spans="1:4" x14ac:dyDescent="0.25">
      <c r="A29" s="10">
        <v>28.3</v>
      </c>
    </row>
    <row r="30" spans="1:4" x14ac:dyDescent="0.25">
      <c r="A30" s="10">
        <v>36.950000000000003</v>
      </c>
    </row>
    <row r="31" spans="1:4" x14ac:dyDescent="0.25">
      <c r="A31" s="10">
        <v>41.22</v>
      </c>
    </row>
    <row r="32" spans="1:4" x14ac:dyDescent="0.25">
      <c r="A32" s="10">
        <v>26.56</v>
      </c>
    </row>
    <row r="33" spans="1:1" x14ac:dyDescent="0.25">
      <c r="A33" s="10">
        <v>37.270000000000003</v>
      </c>
    </row>
    <row r="34" spans="1:1" x14ac:dyDescent="0.25">
      <c r="A34" s="10">
        <v>31.78</v>
      </c>
    </row>
    <row r="35" spans="1:1" x14ac:dyDescent="0.25">
      <c r="A35" s="10">
        <v>27.56</v>
      </c>
    </row>
    <row r="36" spans="1:1" x14ac:dyDescent="0.25">
      <c r="A36" s="10">
        <v>27.91</v>
      </c>
    </row>
    <row r="37" spans="1:1" x14ac:dyDescent="0.25">
      <c r="A37" s="10">
        <v>25.19</v>
      </c>
    </row>
    <row r="38" spans="1:1" x14ac:dyDescent="0.25">
      <c r="A38" s="10">
        <v>31.31</v>
      </c>
    </row>
    <row r="39" spans="1:1" x14ac:dyDescent="0.25">
      <c r="A39" s="10">
        <v>36.61</v>
      </c>
    </row>
    <row r="40" spans="1:1" x14ac:dyDescent="0.25">
      <c r="A40" s="10">
        <v>28.4</v>
      </c>
    </row>
    <row r="41" spans="1:1" x14ac:dyDescent="0.25">
      <c r="A41" s="10">
        <v>53.22</v>
      </c>
    </row>
    <row r="42" spans="1:1" x14ac:dyDescent="0.25">
      <c r="A42" s="10">
        <v>27.54</v>
      </c>
    </row>
    <row r="43" spans="1:1" x14ac:dyDescent="0.25">
      <c r="A43" s="10">
        <v>35.1</v>
      </c>
    </row>
    <row r="44" spans="1:1" x14ac:dyDescent="0.25">
      <c r="A44" s="10">
        <v>34.29</v>
      </c>
    </row>
    <row r="45" spans="1:1" x14ac:dyDescent="0.25">
      <c r="A45" s="10">
        <v>27.02</v>
      </c>
    </row>
    <row r="46" spans="1:1" x14ac:dyDescent="0.25">
      <c r="A46" s="10">
        <v>38.21</v>
      </c>
    </row>
    <row r="47" spans="1:1" x14ac:dyDescent="0.25">
      <c r="A47" s="10">
        <v>30.73</v>
      </c>
    </row>
    <row r="48" spans="1:1" x14ac:dyDescent="0.25">
      <c r="A48" s="10">
        <v>25.33</v>
      </c>
    </row>
    <row r="49" spans="1:1" x14ac:dyDescent="0.25">
      <c r="A49" s="10">
        <v>33.6</v>
      </c>
    </row>
    <row r="50" spans="1:1" x14ac:dyDescent="0.25">
      <c r="A50" s="10">
        <v>45.28</v>
      </c>
    </row>
    <row r="51" spans="1:1" x14ac:dyDescent="0.25">
      <c r="A51" s="10">
        <v>51.25</v>
      </c>
    </row>
    <row r="52" spans="1:1" x14ac:dyDescent="0.25">
      <c r="A52" s="10">
        <v>32.71</v>
      </c>
    </row>
    <row r="53" spans="1:1" x14ac:dyDescent="0.25">
      <c r="A53" s="10">
        <v>24.51</v>
      </c>
    </row>
    <row r="54" spans="1:1" x14ac:dyDescent="0.25">
      <c r="A54" s="10">
        <v>37.090000000000003</v>
      </c>
    </row>
    <row r="55" spans="1:1" x14ac:dyDescent="0.25">
      <c r="A55" s="10">
        <v>31.77</v>
      </c>
    </row>
    <row r="56" spans="1:1" x14ac:dyDescent="0.25">
      <c r="A56" s="10">
        <v>45.91</v>
      </c>
    </row>
    <row r="57" spans="1:1" x14ac:dyDescent="0.25">
      <c r="A57" s="10">
        <v>33.340000000000003</v>
      </c>
    </row>
    <row r="58" spans="1:1" x14ac:dyDescent="0.25">
      <c r="A58" s="10">
        <v>37.74</v>
      </c>
    </row>
    <row r="59" spans="1:1" x14ac:dyDescent="0.25">
      <c r="A59" s="10">
        <v>16.97</v>
      </c>
    </row>
    <row r="60" spans="1:1" x14ac:dyDescent="0.25">
      <c r="A60" s="10">
        <v>37.26</v>
      </c>
    </row>
    <row r="61" spans="1:1" x14ac:dyDescent="0.25">
      <c r="A61" s="10">
        <v>28.25</v>
      </c>
    </row>
    <row r="62" spans="1:1" x14ac:dyDescent="0.25">
      <c r="A62" s="10">
        <v>25.73</v>
      </c>
    </row>
    <row r="63" spans="1:1" x14ac:dyDescent="0.25">
      <c r="A63" s="10">
        <v>40.86</v>
      </c>
    </row>
    <row r="64" spans="1:1" x14ac:dyDescent="0.25">
      <c r="A64" s="10">
        <v>17.5</v>
      </c>
    </row>
    <row r="65" spans="1:1" x14ac:dyDescent="0.25">
      <c r="A65" s="10">
        <v>44.19</v>
      </c>
    </row>
    <row r="66" spans="1:1" x14ac:dyDescent="0.25">
      <c r="A66" s="10">
        <v>25.73</v>
      </c>
    </row>
    <row r="67" spans="1:1" x14ac:dyDescent="0.25">
      <c r="A67" s="10">
        <v>33.07</v>
      </c>
    </row>
    <row r="68" spans="1:1" x14ac:dyDescent="0.25">
      <c r="A68" s="10">
        <v>21.18</v>
      </c>
    </row>
    <row r="69" spans="1:1" x14ac:dyDescent="0.25">
      <c r="A69" s="10">
        <v>28.54</v>
      </c>
    </row>
    <row r="70" spans="1:1" x14ac:dyDescent="0.25">
      <c r="A70" s="10">
        <v>35.32</v>
      </c>
    </row>
    <row r="71" spans="1:1" x14ac:dyDescent="0.25">
      <c r="A71" s="10">
        <v>39.880000000000003</v>
      </c>
    </row>
    <row r="72" spans="1:1" x14ac:dyDescent="0.25">
      <c r="A72" s="10">
        <v>31.54</v>
      </c>
    </row>
    <row r="73" spans="1:1" x14ac:dyDescent="0.25">
      <c r="A73" s="10">
        <v>38.840000000000003</v>
      </c>
    </row>
    <row r="74" spans="1:1" x14ac:dyDescent="0.25">
      <c r="A74" s="10">
        <v>40.85</v>
      </c>
    </row>
    <row r="75" spans="1:1" x14ac:dyDescent="0.25">
      <c r="A75" s="10">
        <v>24.67</v>
      </c>
    </row>
    <row r="76" spans="1:1" x14ac:dyDescent="0.25">
      <c r="A76" s="10">
        <v>34.17</v>
      </c>
    </row>
    <row r="77" spans="1:1" x14ac:dyDescent="0.25">
      <c r="A77" s="10">
        <v>27.53</v>
      </c>
    </row>
    <row r="78" spans="1:1" x14ac:dyDescent="0.25">
      <c r="A78" s="10">
        <v>33.69</v>
      </c>
    </row>
    <row r="79" spans="1:1" x14ac:dyDescent="0.25">
      <c r="A79" s="10">
        <v>43.23</v>
      </c>
    </row>
    <row r="80" spans="1:1" x14ac:dyDescent="0.25">
      <c r="A80" s="10">
        <v>30.71</v>
      </c>
    </row>
    <row r="81" spans="1:1" x14ac:dyDescent="0.25">
      <c r="A81" s="10">
        <v>32.799999999999997</v>
      </c>
    </row>
    <row r="82" spans="1:1" x14ac:dyDescent="0.25">
      <c r="A82" s="10">
        <v>30.91</v>
      </c>
    </row>
    <row r="83" spans="1:1" x14ac:dyDescent="0.25">
      <c r="A83" s="10">
        <v>39.659999999999997</v>
      </c>
    </row>
    <row r="84" spans="1:1" x14ac:dyDescent="0.25">
      <c r="A84" s="10">
        <v>36.78</v>
      </c>
    </row>
    <row r="85" spans="1:1" x14ac:dyDescent="0.25">
      <c r="A85" s="10">
        <v>35.08</v>
      </c>
    </row>
    <row r="86" spans="1:1" x14ac:dyDescent="0.25">
      <c r="A86" s="10">
        <v>37.43</v>
      </c>
    </row>
    <row r="87" spans="1:1" x14ac:dyDescent="0.25">
      <c r="A87" s="10">
        <v>34.880000000000003</v>
      </c>
    </row>
    <row r="88" spans="1:1" x14ac:dyDescent="0.25">
      <c r="A88" s="10">
        <v>35.97</v>
      </c>
    </row>
    <row r="89" spans="1:1" x14ac:dyDescent="0.25">
      <c r="A89" s="10">
        <v>41.71</v>
      </c>
    </row>
    <row r="90" spans="1:1" x14ac:dyDescent="0.25">
      <c r="A90" s="10">
        <v>27.24</v>
      </c>
    </row>
    <row r="91" spans="1:1" x14ac:dyDescent="0.25">
      <c r="A91" s="10">
        <v>33.26</v>
      </c>
    </row>
    <row r="92" spans="1:1" x14ac:dyDescent="0.25">
      <c r="A92" s="10">
        <v>30.88</v>
      </c>
    </row>
    <row r="93" spans="1:1" x14ac:dyDescent="0.25">
      <c r="A93" s="10">
        <v>49.08</v>
      </c>
    </row>
    <row r="94" spans="1:1" x14ac:dyDescent="0.25">
      <c r="A94" s="10">
        <v>28.92</v>
      </c>
    </row>
    <row r="95" spans="1:1" x14ac:dyDescent="0.25">
      <c r="A95" s="10">
        <v>29.71</v>
      </c>
    </row>
    <row r="96" spans="1:1" x14ac:dyDescent="0.25">
      <c r="A96" s="10">
        <v>48.26</v>
      </c>
    </row>
    <row r="97" spans="1:1" x14ac:dyDescent="0.25">
      <c r="A97" s="10">
        <v>34.58</v>
      </c>
    </row>
    <row r="98" spans="1:1" x14ac:dyDescent="0.25">
      <c r="A98" s="10">
        <v>31.94</v>
      </c>
    </row>
    <row r="99" spans="1:1" x14ac:dyDescent="0.25">
      <c r="A99" s="10">
        <v>25.5</v>
      </c>
    </row>
    <row r="100" spans="1:1" x14ac:dyDescent="0.25">
      <c r="A100" s="10">
        <v>47.07</v>
      </c>
    </row>
    <row r="101" spans="1:1" x14ac:dyDescent="0.25">
      <c r="A101" s="10">
        <v>27.06</v>
      </c>
    </row>
    <row r="102" spans="1:1" x14ac:dyDescent="0.25">
      <c r="A102" s="10">
        <v>26.86</v>
      </c>
    </row>
    <row r="103" spans="1:1" x14ac:dyDescent="0.25">
      <c r="A103" s="10">
        <v>32.409999999999997</v>
      </c>
    </row>
    <row r="104" spans="1:1" x14ac:dyDescent="0.25">
      <c r="A104" s="10">
        <v>35.979999999999997</v>
      </c>
    </row>
    <row r="105" spans="1:1" x14ac:dyDescent="0.25">
      <c r="A105" s="10">
        <v>35.130000000000003</v>
      </c>
    </row>
    <row r="106" spans="1:1" x14ac:dyDescent="0.25">
      <c r="A106" s="10">
        <v>26.22</v>
      </c>
    </row>
    <row r="107" spans="1:1" x14ac:dyDescent="0.25">
      <c r="A107" s="10">
        <v>31.51</v>
      </c>
    </row>
    <row r="108" spans="1:1" x14ac:dyDescent="0.25">
      <c r="A108" s="10">
        <v>38.24</v>
      </c>
    </row>
    <row r="109" spans="1:1" x14ac:dyDescent="0.25">
      <c r="A109" s="10">
        <v>32.18</v>
      </c>
    </row>
    <row r="110" spans="1:1" x14ac:dyDescent="0.25">
      <c r="A110" s="10">
        <v>34.08</v>
      </c>
    </row>
    <row r="111" spans="1:1" x14ac:dyDescent="0.25">
      <c r="A111" s="10">
        <v>32.340000000000003</v>
      </c>
    </row>
    <row r="112" spans="1:1" x14ac:dyDescent="0.25">
      <c r="A112" s="10">
        <v>38.68</v>
      </c>
    </row>
    <row r="113" spans="1:1" x14ac:dyDescent="0.25">
      <c r="A113" s="10">
        <v>45.64</v>
      </c>
    </row>
    <row r="114" spans="1:1" x14ac:dyDescent="0.25">
      <c r="A114" s="10">
        <v>23.33</v>
      </c>
    </row>
    <row r="115" spans="1:1" x14ac:dyDescent="0.25">
      <c r="A115" s="10">
        <v>40.549999999999997</v>
      </c>
    </row>
    <row r="116" spans="1:1" x14ac:dyDescent="0.25">
      <c r="A116" s="10">
        <v>45.76</v>
      </c>
    </row>
    <row r="117" spans="1:1" x14ac:dyDescent="0.25">
      <c r="A117" s="10">
        <v>37.99</v>
      </c>
    </row>
    <row r="118" spans="1:1" x14ac:dyDescent="0.25">
      <c r="A118" s="10">
        <v>30.9</v>
      </c>
    </row>
    <row r="119" spans="1:1" x14ac:dyDescent="0.25">
      <c r="A119" s="10">
        <v>29.64</v>
      </c>
    </row>
    <row r="120" spans="1:1" x14ac:dyDescent="0.25">
      <c r="A120" s="10">
        <v>27.96</v>
      </c>
    </row>
    <row r="121" spans="1:1" x14ac:dyDescent="0.25">
      <c r="A121" s="10">
        <v>33.53</v>
      </c>
    </row>
    <row r="122" spans="1:1" x14ac:dyDescent="0.25">
      <c r="A122" s="10">
        <v>24.97</v>
      </c>
    </row>
    <row r="123" spans="1:1" x14ac:dyDescent="0.25">
      <c r="A123" s="10">
        <v>23.46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>
      <pane ySplit="3" topLeftCell="A4" activePane="bottomLeft" state="frozen"/>
      <selection pane="bottomLeft" activeCell="C18" sqref="C18"/>
    </sheetView>
  </sheetViews>
  <sheetFormatPr defaultRowHeight="15" x14ac:dyDescent="0.25"/>
  <cols>
    <col min="1" max="1" width="18.7109375" customWidth="1"/>
    <col min="3" max="3" width="24.7109375" customWidth="1"/>
  </cols>
  <sheetData>
    <row r="1" spans="1:3" ht="18.75" x14ac:dyDescent="0.3">
      <c r="A1" s="1" t="s">
        <v>66</v>
      </c>
    </row>
    <row r="3" spans="1:3" x14ac:dyDescent="0.25">
      <c r="A3" s="2" t="s">
        <v>6</v>
      </c>
      <c r="C3" s="2" t="s">
        <v>76</v>
      </c>
    </row>
    <row r="4" spans="1:3" x14ac:dyDescent="0.25">
      <c r="A4" s="4" cm="1">
        <f t="array" ref="A4:A114">_xlfn._xlws.SORT(X)</f>
        <v>16.97</v>
      </c>
      <c r="C4" s="4">
        <f>MEDIAN(X)</f>
        <v>33.53</v>
      </c>
    </row>
    <row r="5" spans="1:3" x14ac:dyDescent="0.25">
      <c r="A5">
        <v>17.5</v>
      </c>
    </row>
    <row r="6" spans="1:3" x14ac:dyDescent="0.25">
      <c r="A6">
        <v>18.82</v>
      </c>
    </row>
    <row r="7" spans="1:3" x14ac:dyDescent="0.25">
      <c r="A7">
        <v>21.18</v>
      </c>
    </row>
    <row r="8" spans="1:3" x14ac:dyDescent="0.25">
      <c r="A8">
        <v>23.33</v>
      </c>
    </row>
    <row r="9" spans="1:3" x14ac:dyDescent="0.25">
      <c r="A9">
        <v>23.46</v>
      </c>
    </row>
    <row r="10" spans="1:3" x14ac:dyDescent="0.25">
      <c r="A10">
        <v>24.51</v>
      </c>
    </row>
    <row r="11" spans="1:3" x14ac:dyDescent="0.25">
      <c r="A11">
        <v>24.67</v>
      </c>
    </row>
    <row r="12" spans="1:3" x14ac:dyDescent="0.25">
      <c r="A12">
        <v>24.97</v>
      </c>
    </row>
    <row r="13" spans="1:3" x14ac:dyDescent="0.25">
      <c r="A13">
        <v>25.19</v>
      </c>
    </row>
    <row r="14" spans="1:3" x14ac:dyDescent="0.25">
      <c r="A14">
        <v>25.33</v>
      </c>
    </row>
    <row r="15" spans="1:3" x14ac:dyDescent="0.25">
      <c r="A15">
        <v>25.5</v>
      </c>
    </row>
    <row r="16" spans="1:3" x14ac:dyDescent="0.25">
      <c r="A16">
        <v>25.73</v>
      </c>
    </row>
    <row r="17" spans="1:1" x14ac:dyDescent="0.25">
      <c r="A17">
        <v>25.73</v>
      </c>
    </row>
    <row r="18" spans="1:1" x14ac:dyDescent="0.25">
      <c r="A18">
        <v>26.22</v>
      </c>
    </row>
    <row r="19" spans="1:1" x14ac:dyDescent="0.25">
      <c r="A19">
        <v>26.56</v>
      </c>
    </row>
    <row r="20" spans="1:1" x14ac:dyDescent="0.25">
      <c r="A20">
        <v>26.86</v>
      </c>
    </row>
    <row r="21" spans="1:1" x14ac:dyDescent="0.25">
      <c r="A21">
        <v>27.02</v>
      </c>
    </row>
    <row r="22" spans="1:1" x14ac:dyDescent="0.25">
      <c r="A22">
        <v>27.06</v>
      </c>
    </row>
    <row r="23" spans="1:1" x14ac:dyDescent="0.25">
      <c r="A23">
        <v>27.24</v>
      </c>
    </row>
    <row r="24" spans="1:1" x14ac:dyDescent="0.25">
      <c r="A24">
        <v>27.53</v>
      </c>
    </row>
    <row r="25" spans="1:1" x14ac:dyDescent="0.25">
      <c r="A25">
        <v>27.54</v>
      </c>
    </row>
    <row r="26" spans="1:1" x14ac:dyDescent="0.25">
      <c r="A26">
        <v>27.56</v>
      </c>
    </row>
    <row r="27" spans="1:1" x14ac:dyDescent="0.25">
      <c r="A27">
        <v>27.91</v>
      </c>
    </row>
    <row r="28" spans="1:1" x14ac:dyDescent="0.25">
      <c r="A28">
        <v>27.96</v>
      </c>
    </row>
    <row r="29" spans="1:1" x14ac:dyDescent="0.25">
      <c r="A29">
        <v>28.25</v>
      </c>
    </row>
    <row r="30" spans="1:1" x14ac:dyDescent="0.25">
      <c r="A30">
        <v>28.3</v>
      </c>
    </row>
    <row r="31" spans="1:1" x14ac:dyDescent="0.25">
      <c r="A31">
        <v>28.4</v>
      </c>
    </row>
    <row r="32" spans="1:1" x14ac:dyDescent="0.25">
      <c r="A32">
        <v>28.54</v>
      </c>
    </row>
    <row r="33" spans="1:1" x14ac:dyDescent="0.25">
      <c r="A33">
        <v>28.92</v>
      </c>
    </row>
    <row r="34" spans="1:1" x14ac:dyDescent="0.25">
      <c r="A34">
        <v>29.64</v>
      </c>
    </row>
    <row r="35" spans="1:1" x14ac:dyDescent="0.25">
      <c r="A35">
        <v>29.71</v>
      </c>
    </row>
    <row r="36" spans="1:1" x14ac:dyDescent="0.25">
      <c r="A36">
        <v>30.16</v>
      </c>
    </row>
    <row r="37" spans="1:1" x14ac:dyDescent="0.25">
      <c r="A37">
        <v>30.24</v>
      </c>
    </row>
    <row r="38" spans="1:1" x14ac:dyDescent="0.25">
      <c r="A38">
        <v>30.51</v>
      </c>
    </row>
    <row r="39" spans="1:1" x14ac:dyDescent="0.25">
      <c r="A39">
        <v>30.71</v>
      </c>
    </row>
    <row r="40" spans="1:1" x14ac:dyDescent="0.25">
      <c r="A40">
        <v>30.73</v>
      </c>
    </row>
    <row r="41" spans="1:1" x14ac:dyDescent="0.25">
      <c r="A41">
        <v>30.88</v>
      </c>
    </row>
    <row r="42" spans="1:1" x14ac:dyDescent="0.25">
      <c r="A42">
        <v>30.9</v>
      </c>
    </row>
    <row r="43" spans="1:1" x14ac:dyDescent="0.25">
      <c r="A43">
        <v>30.91</v>
      </c>
    </row>
    <row r="44" spans="1:1" x14ac:dyDescent="0.25">
      <c r="A44">
        <v>31.31</v>
      </c>
    </row>
    <row r="45" spans="1:1" x14ac:dyDescent="0.25">
      <c r="A45">
        <v>31.51</v>
      </c>
    </row>
    <row r="46" spans="1:1" x14ac:dyDescent="0.25">
      <c r="A46">
        <v>31.54</v>
      </c>
    </row>
    <row r="47" spans="1:1" x14ac:dyDescent="0.25">
      <c r="A47">
        <v>31.77</v>
      </c>
    </row>
    <row r="48" spans="1:1" x14ac:dyDescent="0.25">
      <c r="A48">
        <v>31.78</v>
      </c>
    </row>
    <row r="49" spans="1:1" x14ac:dyDescent="0.25">
      <c r="A49">
        <v>31.94</v>
      </c>
    </row>
    <row r="50" spans="1:1" x14ac:dyDescent="0.25">
      <c r="A50">
        <v>32.18</v>
      </c>
    </row>
    <row r="51" spans="1:1" x14ac:dyDescent="0.25">
      <c r="A51">
        <v>32.340000000000003</v>
      </c>
    </row>
    <row r="52" spans="1:1" x14ac:dyDescent="0.25">
      <c r="A52">
        <v>32.409999999999997</v>
      </c>
    </row>
    <row r="53" spans="1:1" x14ac:dyDescent="0.25">
      <c r="A53">
        <v>32.61</v>
      </c>
    </row>
    <row r="54" spans="1:1" x14ac:dyDescent="0.25">
      <c r="A54">
        <v>32.71</v>
      </c>
    </row>
    <row r="55" spans="1:1" x14ac:dyDescent="0.25">
      <c r="A55">
        <v>32.799999999999997</v>
      </c>
    </row>
    <row r="56" spans="1:1" x14ac:dyDescent="0.25">
      <c r="A56">
        <v>33.07</v>
      </c>
    </row>
    <row r="57" spans="1:1" x14ac:dyDescent="0.25">
      <c r="A57">
        <v>33.26</v>
      </c>
    </row>
    <row r="58" spans="1:1" x14ac:dyDescent="0.25">
      <c r="A58">
        <v>33.340000000000003</v>
      </c>
    </row>
    <row r="59" spans="1:1" x14ac:dyDescent="0.25">
      <c r="A59">
        <v>33.53</v>
      </c>
    </row>
    <row r="60" spans="1:1" x14ac:dyDescent="0.25">
      <c r="A60">
        <v>33.6</v>
      </c>
    </row>
    <row r="61" spans="1:1" x14ac:dyDescent="0.25">
      <c r="A61">
        <v>33.68</v>
      </c>
    </row>
    <row r="62" spans="1:1" x14ac:dyDescent="0.25">
      <c r="A62">
        <v>33.69</v>
      </c>
    </row>
    <row r="63" spans="1:1" x14ac:dyDescent="0.25">
      <c r="A63">
        <v>33.869999999999997</v>
      </c>
    </row>
    <row r="64" spans="1:1" x14ac:dyDescent="0.25">
      <c r="A64">
        <v>34.08</v>
      </c>
    </row>
    <row r="65" spans="1:1" x14ac:dyDescent="0.25">
      <c r="A65">
        <v>34.17</v>
      </c>
    </row>
    <row r="66" spans="1:1" x14ac:dyDescent="0.25">
      <c r="A66">
        <v>34.29</v>
      </c>
    </row>
    <row r="67" spans="1:1" x14ac:dyDescent="0.25">
      <c r="A67">
        <v>34.58</v>
      </c>
    </row>
    <row r="68" spans="1:1" x14ac:dyDescent="0.25">
      <c r="A68">
        <v>34.76</v>
      </c>
    </row>
    <row r="69" spans="1:1" x14ac:dyDescent="0.25">
      <c r="A69">
        <v>34.880000000000003</v>
      </c>
    </row>
    <row r="70" spans="1:1" x14ac:dyDescent="0.25">
      <c r="A70">
        <v>35.08</v>
      </c>
    </row>
    <row r="71" spans="1:1" x14ac:dyDescent="0.25">
      <c r="A71">
        <v>35.1</v>
      </c>
    </row>
    <row r="72" spans="1:1" x14ac:dyDescent="0.25">
      <c r="A72">
        <v>35.130000000000003</v>
      </c>
    </row>
    <row r="73" spans="1:1" x14ac:dyDescent="0.25">
      <c r="A73">
        <v>35.32</v>
      </c>
    </row>
    <row r="74" spans="1:1" x14ac:dyDescent="0.25">
      <c r="A74">
        <v>35.74</v>
      </c>
    </row>
    <row r="75" spans="1:1" x14ac:dyDescent="0.25">
      <c r="A75">
        <v>35.97</v>
      </c>
    </row>
    <row r="76" spans="1:1" x14ac:dyDescent="0.25">
      <c r="A76">
        <v>35.979999999999997</v>
      </c>
    </row>
    <row r="77" spans="1:1" x14ac:dyDescent="0.25">
      <c r="A77">
        <v>36.549999999999997</v>
      </c>
    </row>
    <row r="78" spans="1:1" x14ac:dyDescent="0.25">
      <c r="A78">
        <v>36.590000000000003</v>
      </c>
    </row>
    <row r="79" spans="1:1" x14ac:dyDescent="0.25">
      <c r="A79">
        <v>36.61</v>
      </c>
    </row>
    <row r="80" spans="1:1" x14ac:dyDescent="0.25">
      <c r="A80">
        <v>36.78</v>
      </c>
    </row>
    <row r="81" spans="1:1" x14ac:dyDescent="0.25">
      <c r="A81">
        <v>36.950000000000003</v>
      </c>
    </row>
    <row r="82" spans="1:1" x14ac:dyDescent="0.25">
      <c r="A82">
        <v>37.090000000000003</v>
      </c>
    </row>
    <row r="83" spans="1:1" x14ac:dyDescent="0.25">
      <c r="A83">
        <v>37.26</v>
      </c>
    </row>
    <row r="84" spans="1:1" x14ac:dyDescent="0.25">
      <c r="A84">
        <v>37.270000000000003</v>
      </c>
    </row>
    <row r="85" spans="1:1" x14ac:dyDescent="0.25">
      <c r="A85">
        <v>37.43</v>
      </c>
    </row>
    <row r="86" spans="1:1" x14ac:dyDescent="0.25">
      <c r="A86">
        <v>37.619999999999997</v>
      </c>
    </row>
    <row r="87" spans="1:1" x14ac:dyDescent="0.25">
      <c r="A87">
        <v>37.74</v>
      </c>
    </row>
    <row r="88" spans="1:1" x14ac:dyDescent="0.25">
      <c r="A88">
        <v>37.99</v>
      </c>
    </row>
    <row r="89" spans="1:1" x14ac:dyDescent="0.25">
      <c r="A89">
        <v>38.21</v>
      </c>
    </row>
    <row r="90" spans="1:1" x14ac:dyDescent="0.25">
      <c r="A90">
        <v>38.24</v>
      </c>
    </row>
    <row r="91" spans="1:1" x14ac:dyDescent="0.25">
      <c r="A91">
        <v>38.44</v>
      </c>
    </row>
    <row r="92" spans="1:1" x14ac:dyDescent="0.25">
      <c r="A92">
        <v>38.68</v>
      </c>
    </row>
    <row r="93" spans="1:1" x14ac:dyDescent="0.25">
      <c r="A93">
        <v>38.840000000000003</v>
      </c>
    </row>
    <row r="94" spans="1:1" x14ac:dyDescent="0.25">
      <c r="A94">
        <v>39.54</v>
      </c>
    </row>
    <row r="95" spans="1:1" x14ac:dyDescent="0.25">
      <c r="A95">
        <v>39.659999999999997</v>
      </c>
    </row>
    <row r="96" spans="1:1" x14ac:dyDescent="0.25">
      <c r="A96">
        <v>39.880000000000003</v>
      </c>
    </row>
    <row r="97" spans="1:1" x14ac:dyDescent="0.25">
      <c r="A97">
        <v>40.549999999999997</v>
      </c>
    </row>
    <row r="98" spans="1:1" x14ac:dyDescent="0.25">
      <c r="A98">
        <v>40.85</v>
      </c>
    </row>
    <row r="99" spans="1:1" x14ac:dyDescent="0.25">
      <c r="A99">
        <v>40.86</v>
      </c>
    </row>
    <row r="100" spans="1:1" x14ac:dyDescent="0.25">
      <c r="A100">
        <v>41.22</v>
      </c>
    </row>
    <row r="101" spans="1:1" x14ac:dyDescent="0.25">
      <c r="A101">
        <v>41.71</v>
      </c>
    </row>
    <row r="102" spans="1:1" x14ac:dyDescent="0.25">
      <c r="A102">
        <v>42.07</v>
      </c>
    </row>
    <row r="103" spans="1:1" x14ac:dyDescent="0.25">
      <c r="A103">
        <v>43.23</v>
      </c>
    </row>
    <row r="104" spans="1:1" x14ac:dyDescent="0.25">
      <c r="A104">
        <v>44.19</v>
      </c>
    </row>
    <row r="105" spans="1:1" x14ac:dyDescent="0.25">
      <c r="A105">
        <v>45.28</v>
      </c>
    </row>
    <row r="106" spans="1:1" x14ac:dyDescent="0.25">
      <c r="A106">
        <v>45.64</v>
      </c>
    </row>
    <row r="107" spans="1:1" x14ac:dyDescent="0.25">
      <c r="A107">
        <v>45.76</v>
      </c>
    </row>
    <row r="108" spans="1:1" x14ac:dyDescent="0.25">
      <c r="A108">
        <v>45.91</v>
      </c>
    </row>
    <row r="109" spans="1:1" x14ac:dyDescent="0.25">
      <c r="A109">
        <v>47.07</v>
      </c>
    </row>
    <row r="110" spans="1:1" x14ac:dyDescent="0.25">
      <c r="A110">
        <v>48.26</v>
      </c>
    </row>
    <row r="111" spans="1:1" x14ac:dyDescent="0.25">
      <c r="A111">
        <v>49.08</v>
      </c>
    </row>
    <row r="112" spans="1:1" x14ac:dyDescent="0.25">
      <c r="A112">
        <v>51.25</v>
      </c>
    </row>
    <row r="113" spans="1:1" x14ac:dyDescent="0.25">
      <c r="A113">
        <v>52.21</v>
      </c>
    </row>
    <row r="114" spans="1:1" x14ac:dyDescent="0.25">
      <c r="A114">
        <v>53.22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workbookViewId="0">
      <pane ySplit="6" topLeftCell="A7" activePane="bottomLeft" state="frozen"/>
      <selection pane="bottomLeft" activeCell="O29" sqref="O29"/>
    </sheetView>
  </sheetViews>
  <sheetFormatPr defaultRowHeight="15" x14ac:dyDescent="0.25"/>
  <cols>
    <col min="1" max="1" width="5.7109375" customWidth="1"/>
    <col min="2" max="3" width="12.7109375" customWidth="1"/>
    <col min="4" max="4" width="15" customWidth="1"/>
    <col min="5" max="5" width="10.7109375" customWidth="1"/>
    <col min="6" max="6" width="8.7109375" customWidth="1"/>
    <col min="7" max="8" width="12.7109375" customWidth="1"/>
  </cols>
  <sheetData>
    <row r="1" spans="1:15" ht="18.75" x14ac:dyDescent="0.3">
      <c r="A1" s="1" t="s">
        <v>67</v>
      </c>
    </row>
    <row r="2" spans="1:15" x14ac:dyDescent="0.25">
      <c r="A2" s="6"/>
    </row>
    <row r="3" spans="1:15" x14ac:dyDescent="0.25">
      <c r="K3" s="2" t="s">
        <v>1</v>
      </c>
      <c r="L3" s="2" t="s">
        <v>2</v>
      </c>
      <c r="M3" s="2" t="s">
        <v>0</v>
      </c>
      <c r="N3" s="2" t="s">
        <v>7</v>
      </c>
      <c r="O3" s="2" t="s">
        <v>8</v>
      </c>
    </row>
    <row r="4" spans="1:15" x14ac:dyDescent="0.25">
      <c r="K4" s="4">
        <f>Данные!B5</f>
        <v>16.97</v>
      </c>
      <c r="L4" s="4">
        <f>Данные!B6</f>
        <v>53.22</v>
      </c>
      <c r="M4" s="3">
        <f>Данные!B4</f>
        <v>111</v>
      </c>
      <c r="N4" s="3">
        <f>Данные!B8</f>
        <v>7</v>
      </c>
      <c r="O4" s="5">
        <f>Данные!B9</f>
        <v>5.1785714285714288</v>
      </c>
    </row>
    <row r="6" spans="1:15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</row>
    <row r="7" spans="1:15" x14ac:dyDescent="0.25">
      <c r="A7" s="3">
        <v>1</v>
      </c>
      <c r="B7" s="4">
        <f>Данные!B5</f>
        <v>16.97</v>
      </c>
      <c r="C7" s="4">
        <f>Данные!B5+1*Данные!B9</f>
        <v>22.148571428571429</v>
      </c>
      <c r="D7" s="7" t="str">
        <f>"(" &amp; TEXT(B7,"0,000") &amp; "; " &amp; TEXT(C7,"0,000") &amp; ")"</f>
        <v>(16,970; 22,149)</v>
      </c>
      <c r="E7" s="4">
        <f>(B7+C7)/2</f>
        <v>19.559285714285714</v>
      </c>
      <c r="F7" s="12">
        <f>COUNTIFS(X,"&gt;="&amp;B7,X,"&lt;"&amp;C7)</f>
        <v>4</v>
      </c>
      <c r="G7" s="5">
        <f>F7/Данные!B4</f>
        <v>3.6036036036036036E-2</v>
      </c>
      <c r="H7" s="5">
        <f>G7/Данные!B9</f>
        <v>6.9586828207517859E-3</v>
      </c>
    </row>
    <row r="8" spans="1:15" x14ac:dyDescent="0.25">
      <c r="A8" s="3">
        <v>2</v>
      </c>
      <c r="B8" s="4">
        <f t="shared" ref="B8:B13" si="0">C7</f>
        <v>22.148571428571429</v>
      </c>
      <c r="C8" s="4">
        <f>Данные!B5+2*Данные!B9</f>
        <v>27.327142857142857</v>
      </c>
      <c r="D8" s="7" t="str">
        <f t="shared" ref="D8:D13" si="1">"(" &amp; TEXT(B8,"0,000") &amp; "; " &amp; TEXT(C8,"0,000") &amp; ")"</f>
        <v>(22,149; 27,327)</v>
      </c>
      <c r="E8" s="4">
        <f t="shared" ref="E8:E13" si="2">(B8+C8)/2</f>
        <v>24.737857142857145</v>
      </c>
      <c r="F8" s="12">
        <f>COUNTIFS(X,"&gt;="&amp;B8,X,"&lt;"&amp;C8)</f>
        <v>16</v>
      </c>
      <c r="G8" s="5">
        <f>F8/Данные!B4</f>
        <v>0.14414414414414414</v>
      </c>
      <c r="H8" s="5">
        <f>G8/Данные!B9</f>
        <v>2.7834731283007143E-2</v>
      </c>
    </row>
    <row r="9" spans="1:15" x14ac:dyDescent="0.25">
      <c r="A9" s="3">
        <v>3</v>
      </c>
      <c r="B9" s="4">
        <f t="shared" si="0"/>
        <v>27.327142857142857</v>
      </c>
      <c r="C9" s="4">
        <f>Данные!B5+3*Данные!B9</f>
        <v>32.505714285714284</v>
      </c>
      <c r="D9" s="7" t="str">
        <f t="shared" si="1"/>
        <v>(27,327; 32,506)</v>
      </c>
      <c r="E9" s="4">
        <f t="shared" si="2"/>
        <v>29.916428571428568</v>
      </c>
      <c r="F9" s="3">
        <f>COUNTIFS(X,"&gt;="&amp;B9,X,"&lt;"&amp;C9)</f>
        <v>29</v>
      </c>
      <c r="G9" s="5">
        <f>F9/Данные!B4</f>
        <v>0.26126126126126126</v>
      </c>
      <c r="H9" s="5">
        <f>G9/Данные!B9</f>
        <v>5.0450450450450449E-2</v>
      </c>
    </row>
    <row r="10" spans="1:15" x14ac:dyDescent="0.25">
      <c r="A10" s="3">
        <v>4</v>
      </c>
      <c r="B10" s="4">
        <f t="shared" si="0"/>
        <v>32.505714285714284</v>
      </c>
      <c r="C10" s="4">
        <f>Данные!B5+4*Данные!B9</f>
        <v>37.684285714285714</v>
      </c>
      <c r="D10" s="7" t="str">
        <f>"(" &amp; TEXT(B10,"0,000") &amp; "; " &amp; TEXT(C10,"0,000") &amp; ")"</f>
        <v>(32,506; 37,684)</v>
      </c>
      <c r="E10" s="4">
        <f>(B10+C10)/2</f>
        <v>35.094999999999999</v>
      </c>
      <c r="F10" s="3">
        <f>COUNTIFS(X,"&gt;="&amp;B10,X,"&lt;"&amp;C10)</f>
        <v>34</v>
      </c>
      <c r="G10" s="5">
        <f>F10/Данные!B4</f>
        <v>0.30630630630630629</v>
      </c>
      <c r="H10" s="5">
        <f>G10/Данные!B9</f>
        <v>5.9148803976390177E-2</v>
      </c>
    </row>
    <row r="11" spans="1:15" x14ac:dyDescent="0.25">
      <c r="A11" s="3">
        <v>5</v>
      </c>
      <c r="B11" s="4">
        <f t="shared" si="0"/>
        <v>37.684285714285714</v>
      </c>
      <c r="C11" s="4">
        <f>Данные!B5+5*Данные!B9</f>
        <v>42.862857142857145</v>
      </c>
      <c r="D11" s="7" t="str">
        <f t="shared" si="1"/>
        <v>(37,684; 42,863)</v>
      </c>
      <c r="E11" s="4">
        <f t="shared" si="2"/>
        <v>40.273571428571429</v>
      </c>
      <c r="F11" s="3">
        <f>COUNTIFS(X,"&gt;="&amp;B11,X,"&lt;"&amp;C11)</f>
        <v>16</v>
      </c>
      <c r="G11" s="5">
        <f>F11/Данные!B4</f>
        <v>0.14414414414414414</v>
      </c>
      <c r="H11" s="5">
        <f>G11/Данные!B9</f>
        <v>2.7834731283007143E-2</v>
      </c>
    </row>
    <row r="12" spans="1:15" x14ac:dyDescent="0.25">
      <c r="A12" s="3">
        <v>6</v>
      </c>
      <c r="B12" s="4">
        <f t="shared" si="0"/>
        <v>42.862857142857145</v>
      </c>
      <c r="C12" s="4">
        <f>Данные!B5+6*Данные!B9</f>
        <v>48.041428571428568</v>
      </c>
      <c r="D12" s="7" t="str">
        <f t="shared" si="1"/>
        <v>(42,863; 48,041)</v>
      </c>
      <c r="E12" s="4">
        <f t="shared" si="2"/>
        <v>45.45214285714286</v>
      </c>
      <c r="F12" s="3">
        <f>COUNTIFS(X,"&gt;="&amp;B12,X,"&lt;="&amp;C12)</f>
        <v>7</v>
      </c>
      <c r="G12" s="5">
        <f>F12/Данные!B4</f>
        <v>6.3063063063063057E-2</v>
      </c>
      <c r="H12" s="5">
        <f>G12/Данные!B9</f>
        <v>1.2177694936315625E-2</v>
      </c>
    </row>
    <row r="13" spans="1:15" x14ac:dyDescent="0.25">
      <c r="A13" s="3">
        <v>7</v>
      </c>
      <c r="B13" s="4">
        <f t="shared" si="0"/>
        <v>48.041428571428568</v>
      </c>
      <c r="C13" s="4">
        <f>Данные!B6</f>
        <v>53.22</v>
      </c>
      <c r="D13" s="7" t="str">
        <f t="shared" si="1"/>
        <v>(48,041; 53,220)</v>
      </c>
      <c r="E13" s="4">
        <f t="shared" si="2"/>
        <v>50.630714285714284</v>
      </c>
      <c r="F13" s="3">
        <f>COUNTIFS(X,"&gt;="&amp;B13,X,"&lt;="&amp;C13)</f>
        <v>5</v>
      </c>
      <c r="G13" s="5">
        <f>F13/Данные!B4</f>
        <v>4.5045045045045043E-2</v>
      </c>
      <c r="H13" s="5">
        <f>G13/Данные!B9</f>
        <v>8.6983535259397317E-3</v>
      </c>
    </row>
    <row r="14" spans="1:15" x14ac:dyDescent="0.25">
      <c r="E14" s="2" t="s">
        <v>17</v>
      </c>
      <c r="F14" s="3">
        <f>SUM(F7:F13)</f>
        <v>111</v>
      </c>
      <c r="G14" s="5">
        <f>SUM(G7:G13)</f>
        <v>0.99999999999999989</v>
      </c>
    </row>
    <row r="16" spans="1:15" x14ac:dyDescent="0.25">
      <c r="A16" s="8" t="str">
        <f>A6</f>
        <v>i</v>
      </c>
      <c r="B16" s="8" t="str">
        <f t="shared" ref="B16:H16" si="3">B6</f>
        <v>a_{i-1}</v>
      </c>
      <c r="C16" s="8" t="str">
        <f t="shared" si="3"/>
        <v>a_i</v>
      </c>
      <c r="D16" s="8" t="str">
        <f t="shared" si="3"/>
        <v>Интервал</v>
      </c>
      <c r="E16" s="8" t="str">
        <f t="shared" si="3"/>
        <v>x~_i</v>
      </c>
      <c r="F16" s="8" t="str">
        <f t="shared" si="3"/>
        <v>n_i</v>
      </c>
      <c r="G16" s="8" t="str">
        <f t="shared" si="3"/>
        <v>p_i*</v>
      </c>
      <c r="H16" s="8" t="str">
        <f t="shared" si="3"/>
        <v>f_i*</v>
      </c>
    </row>
    <row r="17" spans="1:8" x14ac:dyDescent="0.25">
      <c r="A17" s="3">
        <f t="shared" ref="A17" si="4">A7</f>
        <v>1</v>
      </c>
      <c r="B17" s="4">
        <f>B7</f>
        <v>16.97</v>
      </c>
      <c r="C17" s="4">
        <f>C8</f>
        <v>27.327142857142857</v>
      </c>
      <c r="D17" s="4" t="str">
        <f>"(" &amp; TEXT(B17,"0,000") &amp; "; " &amp; TEXT(C17,"0,000") &amp; ")"</f>
        <v>(16,970; 27,327)</v>
      </c>
      <c r="E17" s="4">
        <f>(B17+C17)/2</f>
        <v>22.148571428571429</v>
      </c>
      <c r="F17" s="3">
        <f>COUNTIFS(X,"&gt;="&amp;B17,X,"&lt;"&amp;C17)</f>
        <v>20</v>
      </c>
      <c r="G17" s="4">
        <f>F17/Данные!B4</f>
        <v>0.18018018018018017</v>
      </c>
      <c r="H17" s="4">
        <f>G17/Данные!B9</f>
        <v>3.4793414103758927E-2</v>
      </c>
    </row>
    <row r="18" spans="1:8" x14ac:dyDescent="0.25">
      <c r="A18" s="3">
        <f t="shared" ref="A18" si="5">A8</f>
        <v>2</v>
      </c>
      <c r="B18" s="4">
        <f>B9</f>
        <v>27.327142857142857</v>
      </c>
      <c r="C18" s="4">
        <f t="shared" ref="C18:H18" si="6">C9</f>
        <v>32.505714285714284</v>
      </c>
      <c r="D18" s="4" t="str">
        <f t="shared" si="6"/>
        <v>(27,327; 32,506)</v>
      </c>
      <c r="E18" s="4">
        <f t="shared" si="6"/>
        <v>29.916428571428568</v>
      </c>
      <c r="F18" s="3">
        <f t="shared" si="6"/>
        <v>29</v>
      </c>
      <c r="G18" s="4">
        <f t="shared" si="6"/>
        <v>0.26126126126126126</v>
      </c>
      <c r="H18" s="4">
        <f t="shared" si="6"/>
        <v>5.0450450450450449E-2</v>
      </c>
    </row>
    <row r="19" spans="1:8" x14ac:dyDescent="0.25">
      <c r="A19" s="3">
        <f t="shared" ref="A19:A20" si="7">A9</f>
        <v>3</v>
      </c>
      <c r="B19" s="4">
        <f t="shared" ref="B19:H19" si="8">B10</f>
        <v>32.505714285714284</v>
      </c>
      <c r="C19" s="4">
        <f t="shared" si="8"/>
        <v>37.684285714285714</v>
      </c>
      <c r="D19" s="4" t="str">
        <f t="shared" si="8"/>
        <v>(32,506; 37,684)</v>
      </c>
      <c r="E19" s="4">
        <f t="shared" si="8"/>
        <v>35.094999999999999</v>
      </c>
      <c r="F19" s="3">
        <f t="shared" si="8"/>
        <v>34</v>
      </c>
      <c r="G19" s="4">
        <f t="shared" si="8"/>
        <v>0.30630630630630629</v>
      </c>
      <c r="H19" s="4">
        <f t="shared" si="8"/>
        <v>5.9148803976390177E-2</v>
      </c>
    </row>
    <row r="20" spans="1:8" x14ac:dyDescent="0.25">
      <c r="A20" s="3">
        <f t="shared" si="7"/>
        <v>4</v>
      </c>
      <c r="B20" s="4">
        <f t="shared" ref="B20:H20" si="9">B11</f>
        <v>37.684285714285714</v>
      </c>
      <c r="C20" s="4">
        <f t="shared" si="9"/>
        <v>42.862857142857145</v>
      </c>
      <c r="D20" s="4" t="str">
        <f t="shared" si="9"/>
        <v>(37,684; 42,863)</v>
      </c>
      <c r="E20" s="4">
        <f t="shared" si="9"/>
        <v>40.273571428571429</v>
      </c>
      <c r="F20" s="3">
        <f t="shared" si="9"/>
        <v>16</v>
      </c>
      <c r="G20" s="4">
        <f t="shared" si="9"/>
        <v>0.14414414414414414</v>
      </c>
      <c r="H20" s="4">
        <f t="shared" si="9"/>
        <v>2.7834731283007143E-2</v>
      </c>
    </row>
    <row r="21" spans="1:8" x14ac:dyDescent="0.25">
      <c r="A21" s="3">
        <f t="shared" ref="A21" si="10">A11</f>
        <v>5</v>
      </c>
      <c r="B21" s="4">
        <f t="shared" ref="B21:H21" si="11">B12</f>
        <v>42.862857142857145</v>
      </c>
      <c r="C21" s="4">
        <f t="shared" si="11"/>
        <v>48.041428571428568</v>
      </c>
      <c r="D21" s="4" t="str">
        <f t="shared" si="11"/>
        <v>(42,863; 48,041)</v>
      </c>
      <c r="E21" s="4">
        <f t="shared" si="11"/>
        <v>45.45214285714286</v>
      </c>
      <c r="F21" s="3">
        <f t="shared" si="11"/>
        <v>7</v>
      </c>
      <c r="G21" s="4">
        <f t="shared" si="11"/>
        <v>6.3063063063063057E-2</v>
      </c>
      <c r="H21" s="4">
        <f t="shared" si="11"/>
        <v>1.2177694936315625E-2</v>
      </c>
    </row>
    <row r="22" spans="1:8" x14ac:dyDescent="0.25">
      <c r="A22" s="3">
        <f t="shared" ref="A22" si="12">A12</f>
        <v>6</v>
      </c>
      <c r="B22" s="4">
        <f t="shared" ref="B22:H22" si="13">B13</f>
        <v>48.041428571428568</v>
      </c>
      <c r="C22" s="4">
        <f t="shared" si="13"/>
        <v>53.22</v>
      </c>
      <c r="D22" s="4" t="str">
        <f t="shared" si="13"/>
        <v>(48,041; 53,220)</v>
      </c>
      <c r="E22" s="4">
        <f t="shared" si="13"/>
        <v>50.630714285714284</v>
      </c>
      <c r="F22" s="3">
        <f t="shared" si="13"/>
        <v>5</v>
      </c>
      <c r="G22" s="4">
        <f t="shared" si="13"/>
        <v>4.5045045045045043E-2</v>
      </c>
      <c r="H22" s="4">
        <f t="shared" si="13"/>
        <v>8.6983535259397317E-3</v>
      </c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tabSelected="1" zoomScale="86" workbookViewId="0">
      <pane ySplit="3" topLeftCell="A4" activePane="bottomLeft" state="frozen"/>
      <selection pane="bottomLeft" activeCell="A8" sqref="A8"/>
    </sheetView>
  </sheetViews>
  <sheetFormatPr defaultRowHeight="15" x14ac:dyDescent="0.25"/>
  <cols>
    <col min="1" max="1" width="56.42578125" customWidth="1"/>
    <col min="2" max="5" width="10.7109375" customWidth="1"/>
  </cols>
  <sheetData>
    <row r="1" spans="1:5" ht="18.75" x14ac:dyDescent="0.3">
      <c r="A1" s="1" t="s">
        <v>68</v>
      </c>
    </row>
    <row r="3" spans="1:5" x14ac:dyDescent="0.25">
      <c r="A3" s="2" t="s">
        <v>9</v>
      </c>
      <c r="B3" s="2" t="s">
        <v>13</v>
      </c>
      <c r="C3" s="2" t="s">
        <v>15</v>
      </c>
      <c r="D3" s="2" t="s">
        <v>18</v>
      </c>
      <c r="E3" s="2" t="s">
        <v>11</v>
      </c>
    </row>
    <row r="4" spans="1:5" x14ac:dyDescent="0.25">
      <c r="A4" s="3">
        <v>1</v>
      </c>
      <c r="B4" s="4">
        <f>'Интервальный ряд'!E7</f>
        <v>19.559285714285714</v>
      </c>
      <c r="C4" s="5">
        <f>'Интервальный ряд'!G7</f>
        <v>3.6036036036036036E-2</v>
      </c>
      <c r="D4" s="5">
        <f>C4</f>
        <v>3.6036036036036036E-2</v>
      </c>
      <c r="E4" s="4">
        <f>'Интервальный ряд'!C7</f>
        <v>22.148571428571429</v>
      </c>
    </row>
    <row r="5" spans="1:5" x14ac:dyDescent="0.25">
      <c r="A5" s="3">
        <v>2</v>
      </c>
      <c r="B5" s="4">
        <f>'Интервальный ряд'!E8</f>
        <v>24.737857142857145</v>
      </c>
      <c r="C5" s="5">
        <f>'Интервальный ряд'!G8</f>
        <v>0.14414414414414414</v>
      </c>
      <c r="D5" s="5">
        <f>D4+C5</f>
        <v>0.18018018018018017</v>
      </c>
      <c r="E5" s="4">
        <f>'Интервальный ряд'!C8</f>
        <v>27.327142857142857</v>
      </c>
    </row>
    <row r="6" spans="1:5" x14ac:dyDescent="0.25">
      <c r="A6" s="3">
        <v>3</v>
      </c>
      <c r="B6" s="4">
        <f>'Интервальный ряд'!E9</f>
        <v>29.916428571428568</v>
      </c>
      <c r="C6" s="5">
        <f>'Интервальный ряд'!G9</f>
        <v>0.26126126126126126</v>
      </c>
      <c r="D6" s="5">
        <f t="shared" ref="D6:D10" si="0">D5+C6</f>
        <v>0.44144144144144143</v>
      </c>
      <c r="E6" s="4">
        <f>'Интервальный ряд'!C9</f>
        <v>32.505714285714284</v>
      </c>
    </row>
    <row r="7" spans="1:5" x14ac:dyDescent="0.25">
      <c r="A7" s="3">
        <v>4</v>
      </c>
      <c r="B7" s="4">
        <f>'Интервальный ряд'!E10</f>
        <v>35.094999999999999</v>
      </c>
      <c r="C7" s="5">
        <f>'Интервальный ряд'!G10</f>
        <v>0.30630630630630629</v>
      </c>
      <c r="D7" s="5">
        <f t="shared" si="0"/>
        <v>0.74774774774774766</v>
      </c>
      <c r="E7" s="4">
        <f>'Интервальный ряд'!C10</f>
        <v>37.684285714285714</v>
      </c>
    </row>
    <row r="8" spans="1:5" x14ac:dyDescent="0.25">
      <c r="A8" s="3">
        <v>5</v>
      </c>
      <c r="B8" s="4">
        <f>'Интервальный ряд'!E11</f>
        <v>40.273571428571429</v>
      </c>
      <c r="C8" s="5">
        <f>'Интервальный ряд'!G11</f>
        <v>0.14414414414414414</v>
      </c>
      <c r="D8" s="5">
        <f t="shared" si="0"/>
        <v>0.89189189189189177</v>
      </c>
      <c r="E8" s="4">
        <f>'Интервальный ряд'!C11</f>
        <v>42.862857142857145</v>
      </c>
    </row>
    <row r="9" spans="1:5" x14ac:dyDescent="0.25">
      <c r="A9" s="3">
        <v>6</v>
      </c>
      <c r="B9" s="4">
        <f>'Интервальный ряд'!E12</f>
        <v>45.45214285714286</v>
      </c>
      <c r="C9" s="5">
        <f>'Интервальный ряд'!G12</f>
        <v>6.3063063063063057E-2</v>
      </c>
      <c r="D9" s="5">
        <f t="shared" si="0"/>
        <v>0.95495495495495486</v>
      </c>
      <c r="E9" s="4">
        <f>'Интервальный ряд'!C12</f>
        <v>48.041428571428568</v>
      </c>
    </row>
    <row r="10" spans="1:5" x14ac:dyDescent="0.25">
      <c r="A10" s="3">
        <v>7</v>
      </c>
      <c r="B10" s="4">
        <f>'Интервальный ряд'!E13</f>
        <v>50.630714285714284</v>
      </c>
      <c r="C10" s="5">
        <f>'Интервальный ряд'!G13</f>
        <v>4.5045045045045043E-2</v>
      </c>
      <c r="D10" s="5">
        <f t="shared" si="0"/>
        <v>0.99999999999999989</v>
      </c>
      <c r="E10" s="4">
        <f>'Интервальный ряд'!C13</f>
        <v>53.22</v>
      </c>
    </row>
    <row r="14" spans="1:5" x14ac:dyDescent="0.25">
      <c r="A14" s="2" t="s">
        <v>19</v>
      </c>
    </row>
    <row r="15" spans="1:5" x14ac:dyDescent="0.25">
      <c r="A15" s="2" t="s">
        <v>11</v>
      </c>
      <c r="B15" s="2" t="s">
        <v>20</v>
      </c>
    </row>
    <row r="16" spans="1:5" x14ac:dyDescent="0.25">
      <c r="A16" s="4">
        <f>'Интервальный ряд'!B7</f>
        <v>16.97</v>
      </c>
      <c r="B16" s="5">
        <v>0</v>
      </c>
    </row>
    <row r="17" spans="1:2" x14ac:dyDescent="0.25">
      <c r="A17" s="4">
        <f>'Интервальный ряд'!C7</f>
        <v>22.148571428571429</v>
      </c>
      <c r="B17" s="5">
        <f t="shared" ref="B17:B23" si="1">D4</f>
        <v>3.6036036036036036E-2</v>
      </c>
    </row>
    <row r="18" spans="1:2" x14ac:dyDescent="0.25">
      <c r="A18" s="4">
        <f>'Интервальный ряд'!C8</f>
        <v>27.327142857142857</v>
      </c>
      <c r="B18" s="5">
        <f t="shared" si="1"/>
        <v>0.18018018018018017</v>
      </c>
    </row>
    <row r="19" spans="1:2" x14ac:dyDescent="0.25">
      <c r="A19" s="4">
        <f>'Интервальный ряд'!C9</f>
        <v>32.505714285714284</v>
      </c>
      <c r="B19" s="5">
        <f t="shared" si="1"/>
        <v>0.44144144144144143</v>
      </c>
    </row>
    <row r="20" spans="1:2" x14ac:dyDescent="0.25">
      <c r="A20" s="4">
        <f>'Интервальный ряд'!C10</f>
        <v>37.684285714285714</v>
      </c>
      <c r="B20" s="5">
        <f t="shared" si="1"/>
        <v>0.74774774774774766</v>
      </c>
    </row>
    <row r="21" spans="1:2" x14ac:dyDescent="0.25">
      <c r="A21" s="4">
        <f>'Интервальный ряд'!C11</f>
        <v>42.862857142857145</v>
      </c>
      <c r="B21" s="5">
        <f>D8</f>
        <v>0.89189189189189177</v>
      </c>
    </row>
    <row r="22" spans="1:2" x14ac:dyDescent="0.25">
      <c r="A22" s="4">
        <f>'Интервальный ряд'!C12</f>
        <v>48.041428571428568</v>
      </c>
      <c r="B22" s="5">
        <f t="shared" si="1"/>
        <v>0.95495495495495486</v>
      </c>
    </row>
    <row r="23" spans="1:2" x14ac:dyDescent="0.25">
      <c r="A23" s="4">
        <f>'Интервальный ряд'!C13</f>
        <v>53.22</v>
      </c>
      <c r="B23" s="5">
        <f t="shared" si="1"/>
        <v>0.99999999999999989</v>
      </c>
    </row>
    <row r="25" spans="1:2" x14ac:dyDescent="0.25">
      <c r="A25" s="2" t="s">
        <v>21</v>
      </c>
    </row>
    <row r="26" spans="1:2" x14ac:dyDescent="0.25">
      <c r="A26" s="2" t="s">
        <v>22</v>
      </c>
      <c r="B26" s="2" t="s">
        <v>23</v>
      </c>
    </row>
    <row r="27" spans="1:2" x14ac:dyDescent="0.25">
      <c r="A27" s="4">
        <f>'Интервальный ряд'!B7</f>
        <v>16.97</v>
      </c>
      <c r="B27" s="5">
        <v>0</v>
      </c>
    </row>
    <row r="28" spans="1:2" x14ac:dyDescent="0.25">
      <c r="A28" s="4">
        <f>'Интервальный ряд'!C7</f>
        <v>22.148571428571429</v>
      </c>
      <c r="B28" s="5">
        <v>0</v>
      </c>
    </row>
    <row r="29" spans="1:2" x14ac:dyDescent="0.25">
      <c r="A29" s="4">
        <f>'Интервальный ряд'!C7</f>
        <v>22.148571428571429</v>
      </c>
      <c r="B29" s="5">
        <f>D4</f>
        <v>3.6036036036036036E-2</v>
      </c>
    </row>
    <row r="30" spans="1:2" x14ac:dyDescent="0.25">
      <c r="A30" s="4">
        <f>'Интервальный ряд'!C8</f>
        <v>27.327142857142857</v>
      </c>
      <c r="B30" s="5">
        <f>D4</f>
        <v>3.6036036036036036E-2</v>
      </c>
    </row>
    <row r="31" spans="1:2" x14ac:dyDescent="0.25">
      <c r="A31" s="4">
        <f>'Интервальный ряд'!C8</f>
        <v>27.327142857142857</v>
      </c>
      <c r="B31" s="5">
        <f>D5</f>
        <v>0.18018018018018017</v>
      </c>
    </row>
    <row r="32" spans="1:2" x14ac:dyDescent="0.25">
      <c r="A32" s="4">
        <f>'Интервальный ряд'!C9</f>
        <v>32.505714285714284</v>
      </c>
      <c r="B32" s="5">
        <f>D5</f>
        <v>0.18018018018018017</v>
      </c>
    </row>
    <row r="33" spans="1:2" x14ac:dyDescent="0.25">
      <c r="A33" s="4">
        <f>'Интервальный ряд'!C9</f>
        <v>32.505714285714284</v>
      </c>
      <c r="B33" s="5">
        <f>D6</f>
        <v>0.44144144144144143</v>
      </c>
    </row>
    <row r="34" spans="1:2" x14ac:dyDescent="0.25">
      <c r="A34" s="4">
        <f>'Интервальный ряд'!C10</f>
        <v>37.684285714285714</v>
      </c>
      <c r="B34" s="5">
        <f>D6</f>
        <v>0.44144144144144143</v>
      </c>
    </row>
    <row r="35" spans="1:2" x14ac:dyDescent="0.25">
      <c r="A35" s="4">
        <f>'Интервальный ряд'!C10</f>
        <v>37.684285714285714</v>
      </c>
      <c r="B35" s="5">
        <f>D7</f>
        <v>0.74774774774774766</v>
      </c>
    </row>
    <row r="36" spans="1:2" x14ac:dyDescent="0.25">
      <c r="A36" s="4">
        <f>'Интервальный ряд'!C11</f>
        <v>42.862857142857145</v>
      </c>
      <c r="B36" s="5">
        <f>D7</f>
        <v>0.74774774774774766</v>
      </c>
    </row>
    <row r="37" spans="1:2" x14ac:dyDescent="0.25">
      <c r="A37" s="4">
        <f>'Интервальный ряд'!C11</f>
        <v>42.862857142857145</v>
      </c>
      <c r="B37" s="5">
        <f>D8</f>
        <v>0.89189189189189177</v>
      </c>
    </row>
    <row r="38" spans="1:2" x14ac:dyDescent="0.25">
      <c r="A38" s="4">
        <f>'Интервальный ряд'!C12</f>
        <v>48.041428571428568</v>
      </c>
      <c r="B38" s="5">
        <f>D8</f>
        <v>0.89189189189189177</v>
      </c>
    </row>
    <row r="39" spans="1:2" x14ac:dyDescent="0.25">
      <c r="A39" s="4">
        <f>'Интервальный ряд'!C12</f>
        <v>48.041428571428568</v>
      </c>
      <c r="B39" s="5">
        <f>D9</f>
        <v>0.95495495495495486</v>
      </c>
    </row>
    <row r="40" spans="1:2" x14ac:dyDescent="0.25">
      <c r="A40" s="4">
        <f>'Интервальный ряд'!C13</f>
        <v>53.22</v>
      </c>
      <c r="B40" s="5">
        <f>D9</f>
        <v>0.95495495495495486</v>
      </c>
    </row>
    <row r="41" spans="1:2" x14ac:dyDescent="0.25">
      <c r="A41" s="4">
        <f>'Интервальный ряд'!C13</f>
        <v>53.22</v>
      </c>
      <c r="B41" s="5">
        <f>D10</f>
        <v>0.99999999999999989</v>
      </c>
    </row>
    <row r="42" spans="1:2" x14ac:dyDescent="0.25">
      <c r="A42" s="4">
        <f>'Интервальный ряд'!C13</f>
        <v>53.22</v>
      </c>
      <c r="B42" s="5">
        <f>D10</f>
        <v>0.99999999999999989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C25" sqref="C25"/>
    </sheetView>
  </sheetViews>
  <sheetFormatPr defaultRowHeight="15" x14ac:dyDescent="0.25"/>
  <cols>
    <col min="1" max="1" width="14.7109375" customWidth="1"/>
    <col min="2" max="2" width="18.7109375" customWidth="1"/>
    <col min="3" max="3" width="49.85546875" customWidth="1"/>
  </cols>
  <sheetData>
    <row r="1" spans="1:3" ht="18.75" x14ac:dyDescent="0.3">
      <c r="A1" s="1" t="s">
        <v>73</v>
      </c>
    </row>
    <row r="3" spans="1:3" x14ac:dyDescent="0.25">
      <c r="A3" s="2" t="s">
        <v>24</v>
      </c>
      <c r="B3" s="2" t="s">
        <v>25</v>
      </c>
      <c r="C3" s="2" t="s">
        <v>70</v>
      </c>
    </row>
    <row r="4" spans="1:3" x14ac:dyDescent="0.25">
      <c r="A4" s="7" t="s">
        <v>0</v>
      </c>
      <c r="B4" s="3">
        <f>Данные!B4</f>
        <v>111</v>
      </c>
      <c r="C4" s="7" t="s">
        <v>26</v>
      </c>
    </row>
    <row r="5" spans="1:3" x14ac:dyDescent="0.25">
      <c r="A5" s="7" t="s">
        <v>27</v>
      </c>
      <c r="B5" s="5">
        <f>SUMPRODUCT('Интервальный ряд'!E7:E13,'Интервальный ряд'!G7:G13)</f>
        <v>33.788693693693695</v>
      </c>
      <c r="C5" t="s">
        <v>79</v>
      </c>
    </row>
    <row r="6" spans="1:3" x14ac:dyDescent="0.25">
      <c r="A6" s="7" t="s">
        <v>28</v>
      </c>
      <c r="B6" s="5" cm="1">
        <f t="array" ref="B6">SUMPRODUCT(('Интервальный ряд'!E7:E13)^2,'Интервальный ряд'!G7:G13)-B5^2</f>
        <v>50.962367842194226</v>
      </c>
      <c r="C6" s="7" t="s">
        <v>78</v>
      </c>
    </row>
    <row r="7" spans="1:3" x14ac:dyDescent="0.25">
      <c r="A7" s="7" t="s">
        <v>29</v>
      </c>
      <c r="B7" s="5">
        <f>B6*B4/(B4-1)</f>
        <v>51.425662095305086</v>
      </c>
      <c r="C7" s="7" t="s">
        <v>80</v>
      </c>
    </row>
    <row r="8" spans="1:3" x14ac:dyDescent="0.25">
      <c r="A8" s="7" t="s">
        <v>30</v>
      </c>
      <c r="B8" s="5">
        <f>SQRT(B7)</f>
        <v>7.171168809566896</v>
      </c>
      <c r="C8" s="7" t="s">
        <v>69</v>
      </c>
    </row>
    <row r="9" spans="1:3" x14ac:dyDescent="0.25">
      <c r="A9" s="7" t="s">
        <v>31</v>
      </c>
      <c r="B9" s="5">
        <f>MEDIAN(X)</f>
        <v>33.53</v>
      </c>
      <c r="C9" s="7" t="s">
        <v>81</v>
      </c>
    </row>
    <row r="10" spans="1:3" x14ac:dyDescent="0.25">
      <c r="A10" s="7" t="s">
        <v>32</v>
      </c>
      <c r="B10" s="5" cm="1">
        <f t="array" ref="B10">SUMPRODUCT(('Интервальный ряд'!E7:E13-B5)^3,'Интервальный ряд'!G7:G13)/(B8^3)</f>
        <v>0.35083108199764895</v>
      </c>
      <c r="C10" s="7" t="s">
        <v>82</v>
      </c>
    </row>
    <row r="11" spans="1:3" x14ac:dyDescent="0.25">
      <c r="A11" s="7" t="s">
        <v>33</v>
      </c>
      <c r="B11" s="5" cm="1">
        <f t="array" ref="B11">SUMPRODUCT(('Интервальный ряд'!E7:E13-B5)^4,'Интервальный ряд'!G7:G13)/(B8^4)-3</f>
        <v>-0.1449298854157921</v>
      </c>
      <c r="C11" s="7" t="s">
        <v>83</v>
      </c>
    </row>
    <row r="12" spans="1:3" x14ac:dyDescent="0.25">
      <c r="A12" s="7" t="s">
        <v>34</v>
      </c>
      <c r="B12" s="5">
        <f>SQRT(6*(B4-1)/((B4+1)*(B4+3)))</f>
        <v>0.22735815209336188</v>
      </c>
      <c r="C12" s="7" t="s">
        <v>84</v>
      </c>
    </row>
    <row r="13" spans="1:3" x14ac:dyDescent="0.25">
      <c r="A13" s="7" t="s">
        <v>35</v>
      </c>
      <c r="B13" s="7" t="str">
        <f>IF(B12&lt;&gt;"", "(" &amp; TEXT(-2*B12, "0,000") &amp; "; " &amp; TEXT(2*B12, "0,000") &amp; ")", "")</f>
        <v>(-0,455; 0,455)</v>
      </c>
      <c r="C13" s="7" t="s">
        <v>36</v>
      </c>
    </row>
    <row r="14" spans="1:3" x14ac:dyDescent="0.25">
      <c r="A14" s="7" t="s">
        <v>37</v>
      </c>
      <c r="B14" s="5">
        <f>SQRT(24*B4*(B4-2)*(B4-3)/((B4-1)^2*(B4+3)*(B4+5)))</f>
        <v>0.44270877626388005</v>
      </c>
      <c r="C14" s="7" t="s">
        <v>85</v>
      </c>
    </row>
    <row r="15" spans="1:3" x14ac:dyDescent="0.25">
      <c r="A15" s="7" t="s">
        <v>38</v>
      </c>
      <c r="B15" s="7" t="str">
        <f>IF(B14&lt;&gt;"", "(" &amp; TEXT(-2*B14, "0,000") &amp; "; " &amp; TEXT(2*B14, "0,000") &amp; ")", "")</f>
        <v>(-0,885; 0,885)</v>
      </c>
      <c r="C15" s="7" t="s">
        <v>39</v>
      </c>
    </row>
    <row r="18" spans="1:2" x14ac:dyDescent="0.25">
      <c r="A18" s="7" t="s">
        <v>86</v>
      </c>
      <c r="B18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10.7109375" customWidth="1"/>
    <col min="2" max="2" width="14.7109375" customWidth="1"/>
    <col min="3" max="3" width="22.28515625" customWidth="1"/>
  </cols>
  <sheetData>
    <row r="1" spans="1:3" ht="18.75" x14ac:dyDescent="0.3">
      <c r="A1" s="1" t="s">
        <v>87</v>
      </c>
    </row>
    <row r="3" spans="1:3" x14ac:dyDescent="0.25">
      <c r="A3" s="2" t="s">
        <v>13</v>
      </c>
      <c r="B3" s="2" t="s">
        <v>16</v>
      </c>
      <c r="C3" s="2" t="s">
        <v>40</v>
      </c>
    </row>
    <row r="4" spans="1:3" x14ac:dyDescent="0.25">
      <c r="A4" s="4">
        <f>'Интервальный ряд'!E7</f>
        <v>19.559285714285714</v>
      </c>
      <c r="B4" s="5">
        <f>'Интервальный ряд'!H7</f>
        <v>6.9586828207517859E-3</v>
      </c>
      <c r="C4" s="5">
        <f>_xlfn.NORM.DIST(A4,Оценки!$B$5,Оценки!$B$8,FALSE)</f>
        <v>7.7688298742246611E-3</v>
      </c>
    </row>
    <row r="5" spans="1:3" x14ac:dyDescent="0.25">
      <c r="A5" s="4">
        <f>'Интервальный ряд'!E8</f>
        <v>24.737857142857145</v>
      </c>
      <c r="B5" s="5">
        <f>'Интервальный ряд'!H8</f>
        <v>2.7834731283007143E-2</v>
      </c>
      <c r="C5" s="5">
        <f>_xlfn.NORM.DIST(A5,Оценки!$B$5,Оценки!$B$8,FALSE)</f>
        <v>2.5085287329025985E-2</v>
      </c>
    </row>
    <row r="6" spans="1:3" x14ac:dyDescent="0.25">
      <c r="A6" s="4">
        <f>'Интервальный ряд'!E9</f>
        <v>29.916428571428568</v>
      </c>
      <c r="B6" s="5">
        <f>'Интервальный ряд'!H9</f>
        <v>5.0450450450450449E-2</v>
      </c>
      <c r="C6" s="5">
        <f>_xlfn.NORM.DIST(A6,Оценки!$B$5,Оценки!$B$8,FALSE)</f>
        <v>4.8084534290117539E-2</v>
      </c>
    </row>
    <row r="7" spans="1:3" x14ac:dyDescent="0.25">
      <c r="A7" s="4">
        <f>'Интервальный ряд'!E10</f>
        <v>35.094999999999999</v>
      </c>
      <c r="B7" s="5">
        <f>'Интервальный ряд'!H10</f>
        <v>5.9148803976390177E-2</v>
      </c>
      <c r="C7" s="5">
        <f>_xlfn.NORM.DIST(A7,Оценки!$B$5,Оценки!$B$8,FALSE)</f>
        <v>5.4716034424537235E-2</v>
      </c>
    </row>
    <row r="8" spans="1:3" x14ac:dyDescent="0.25">
      <c r="A8" s="4">
        <f>'Интервальный ряд'!E11</f>
        <v>40.273571428571429</v>
      </c>
      <c r="B8" s="5">
        <f>'Интервальный ряд'!H11</f>
        <v>2.7834731283007143E-2</v>
      </c>
      <c r="C8" s="5">
        <f>_xlfn.NORM.DIST(A8,Оценки!$B$5,Оценки!$B$8,FALSE)</f>
        <v>3.6961252503432157E-2</v>
      </c>
    </row>
    <row r="9" spans="1:3" x14ac:dyDescent="0.25">
      <c r="A9" s="4">
        <f>'Интервальный ряд'!E12</f>
        <v>45.45214285714286</v>
      </c>
      <c r="B9" s="5">
        <f>'Интервальный ряд'!H12</f>
        <v>1.2177694936315625E-2</v>
      </c>
      <c r="C9" s="5">
        <f>_xlfn.NORM.DIST(A9,Оценки!$B$5,Оценки!$B$8,FALSE)</f>
        <v>1.4821822598890078E-2</v>
      </c>
    </row>
    <row r="10" spans="1:3" x14ac:dyDescent="0.25">
      <c r="A10" s="4">
        <f>'Интервальный ряд'!E13</f>
        <v>50.630714285714284</v>
      </c>
      <c r="B10" s="5">
        <f>'Интервальный ряд'!H13</f>
        <v>8.6983535259397317E-3</v>
      </c>
      <c r="C10" s="5">
        <f>_xlfn.NORM.DIST(A10,Оценки!$B$5,Оценки!$B$8,FALSE)</f>
        <v>3.528412953481685E-3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topLeftCell="A21" workbookViewId="0">
      <selection activeCell="B45" sqref="B45"/>
    </sheetView>
  </sheetViews>
  <sheetFormatPr defaultRowHeight="15" x14ac:dyDescent="0.25"/>
  <cols>
    <col min="1" max="1" width="26.7109375" customWidth="1"/>
    <col min="2" max="6" width="18.7109375" customWidth="1"/>
  </cols>
  <sheetData>
    <row r="1" spans="1:6" ht="18.75" x14ac:dyDescent="0.3">
      <c r="A1" s="1" t="s">
        <v>88</v>
      </c>
    </row>
    <row r="3" spans="1:6" x14ac:dyDescent="0.25">
      <c r="A3" s="2" t="s">
        <v>41</v>
      </c>
      <c r="B3" s="5">
        <f>Оценки!B5</f>
        <v>33.788693693693695</v>
      </c>
      <c r="D3" s="2" t="s">
        <v>43</v>
      </c>
      <c r="E3" s="5">
        <v>0.01</v>
      </c>
    </row>
    <row r="4" spans="1:6" x14ac:dyDescent="0.25">
      <c r="A4" s="2" t="s">
        <v>42</v>
      </c>
      <c r="B4" s="5">
        <f>Оценки!B8</f>
        <v>7.171168809566896</v>
      </c>
      <c r="D4" s="2" t="s">
        <v>44</v>
      </c>
      <c r="E4" s="5">
        <v>0.99</v>
      </c>
    </row>
    <row r="5" spans="1:6" x14ac:dyDescent="0.25">
      <c r="A5" s="2" t="s">
        <v>0</v>
      </c>
      <c r="B5" s="3">
        <f>Оценки!B4</f>
        <v>111</v>
      </c>
      <c r="D5" s="2" t="s">
        <v>45</v>
      </c>
      <c r="E5" s="5">
        <v>1.627</v>
      </c>
    </row>
    <row r="8" spans="1:6" x14ac:dyDescent="0.25">
      <c r="A8" s="2" t="s">
        <v>46</v>
      </c>
    </row>
    <row r="9" spans="1:6" x14ac:dyDescent="0.25">
      <c r="A9" s="2" t="s">
        <v>9</v>
      </c>
      <c r="B9" s="2" t="s">
        <v>47</v>
      </c>
      <c r="C9" s="2" t="s">
        <v>14</v>
      </c>
      <c r="D9" s="2" t="s">
        <v>48</v>
      </c>
      <c r="E9" s="2" t="s">
        <v>49</v>
      </c>
      <c r="F9" s="2" t="s">
        <v>50</v>
      </c>
    </row>
    <row r="10" spans="1:6" x14ac:dyDescent="0.25">
      <c r="A10" s="3">
        <v>1</v>
      </c>
      <c r="B10" s="7" t="str">
        <f>'Интервальный ряд'!D17</f>
        <v>(16,970; 27,327)</v>
      </c>
      <c r="C10" s="3">
        <f>'Интервальный ряд'!F17</f>
        <v>20</v>
      </c>
      <c r="D10" s="5">
        <f>_xlfn.NORM.DIST('Интервальный ряд'!C17,$B$3,$B$4,TRUE)-_xlfn.NORM.DIST('Интервальный ряд'!B17,$B$3,$B$4,TRUE)</f>
        <v>0.17427666123039648</v>
      </c>
      <c r="E10" s="5">
        <f>$B$5*D10</f>
        <v>19.344709396574011</v>
      </c>
      <c r="F10" s="5">
        <f>(C10-E10)^2/E10</f>
        <v>2.2197582095208192E-2</v>
      </c>
    </row>
    <row r="11" spans="1:6" x14ac:dyDescent="0.25">
      <c r="A11" s="3">
        <v>2</v>
      </c>
      <c r="B11" s="7" t="str">
        <f>'Интервальный ряд'!D18</f>
        <v>(27,327; 32,506)</v>
      </c>
      <c r="C11" s="3">
        <f>'Интервальный ряд'!F18</f>
        <v>29</v>
      </c>
      <c r="D11" s="5">
        <f>_xlfn.NORM.DIST('Интервальный ряд'!C18,$B$3,$B$4,TRUE)-_xlfn.NORM.DIST('Интервальный ряд'!B18,$B$3,$B$4,TRUE)</f>
        <v>0.2452229635616813</v>
      </c>
      <c r="E11" s="5">
        <f t="shared" ref="E11:E15" si="0">$B$5*D11</f>
        <v>27.219748955346624</v>
      </c>
      <c r="F11" s="5">
        <f>(C11-E11)^2/E11</f>
        <v>0.11643361543078852</v>
      </c>
    </row>
    <row r="12" spans="1:6" x14ac:dyDescent="0.25">
      <c r="A12" s="3">
        <v>3</v>
      </c>
      <c r="B12" s="7" t="str">
        <f>'Интервальный ряд'!D19</f>
        <v>(32,506; 37,684)</v>
      </c>
      <c r="C12" s="3">
        <f>'Интервальный ряд'!F19</f>
        <v>34</v>
      </c>
      <c r="D12" s="5">
        <f>_xlfn.NORM.DIST('Интервальный ряд'!C19,$B$3,$B$4,TRUE)-_xlfn.NORM.DIST('Интервальный ряд'!B19,$B$3,$B$4,TRUE)</f>
        <v>0.27750920279471869</v>
      </c>
      <c r="E12" s="5">
        <f t="shared" si="0"/>
        <v>30.803521510213773</v>
      </c>
      <c r="F12" s="5">
        <f t="shared" ref="F12:F15" si="1">(C12-E12)^2/E12</f>
        <v>0.33169826807880215</v>
      </c>
    </row>
    <row r="13" spans="1:6" x14ac:dyDescent="0.25">
      <c r="A13" s="3">
        <v>4</v>
      </c>
      <c r="B13" s="7" t="str">
        <f>'Интервальный ряд'!D20</f>
        <v>(37,684; 42,863)</v>
      </c>
      <c r="C13" s="3">
        <f>'Интервальный ряд'!F20</f>
        <v>16</v>
      </c>
      <c r="D13" s="5">
        <f>_xlfn.NORM.DIST('Интервальный ряд'!C20,$B$3,$B$4,TRUE)-_xlfn.NORM.DIST('Интервальный ряд'!B20,$B$3,$B$4,TRUE)</f>
        <v>0.19061600088496433</v>
      </c>
      <c r="E13" s="5">
        <f t="shared" si="0"/>
        <v>21.158376098231042</v>
      </c>
      <c r="F13" s="5">
        <f t="shared" si="1"/>
        <v>1.2576033173465497</v>
      </c>
    </row>
    <row r="14" spans="1:6" x14ac:dyDescent="0.25">
      <c r="A14" s="3">
        <v>5</v>
      </c>
      <c r="B14" s="7" t="str">
        <f>'Интервальный ряд'!D21</f>
        <v>(42,863; 48,041)</v>
      </c>
      <c r="C14" s="3">
        <f>'Интервальный ряд'!F21</f>
        <v>7</v>
      </c>
      <c r="D14" s="5">
        <f>_xlfn.NORM.DIST('Интервальный ряд'!C21,$B$3,$B$4,TRUE)-_xlfn.NORM.DIST('Интервальный ряд'!B21,$B$3,$B$4,TRUE)</f>
        <v>7.9436599066398661E-2</v>
      </c>
      <c r="E14" s="5">
        <f t="shared" si="0"/>
        <v>8.8174624963702506</v>
      </c>
      <c r="F14" s="5">
        <f t="shared" si="1"/>
        <v>0.37461683869618367</v>
      </c>
    </row>
    <row r="15" spans="1:6" x14ac:dyDescent="0.25">
      <c r="A15" s="3">
        <v>6</v>
      </c>
      <c r="B15" s="7" t="str">
        <f>'Интервальный ряд'!D22</f>
        <v>(48,041; 53,220)</v>
      </c>
      <c r="C15" s="3">
        <f>'Интервальный ряд'!F22</f>
        <v>5</v>
      </c>
      <c r="D15" s="5">
        <f>_xlfn.NORM.DIST('Интервальный ряд'!C22,$B$3,$B$4,TRUE)-_xlfn.NORM.DIST('Интервальный ряд'!B22,$B$3,$B$4,TRUE)</f>
        <v>2.0065438719680362E-2</v>
      </c>
      <c r="E15" s="5">
        <f t="shared" si="0"/>
        <v>2.2272636978845202</v>
      </c>
      <c r="F15" s="5">
        <f t="shared" si="1"/>
        <v>3.4517989981928214</v>
      </c>
    </row>
    <row r="16" spans="1:6" x14ac:dyDescent="0.25">
      <c r="E16" s="2" t="s">
        <v>51</v>
      </c>
      <c r="F16" s="5">
        <f>SUM(F10:F15)</f>
        <v>5.5543486198403542</v>
      </c>
    </row>
    <row r="17" spans="1:6" x14ac:dyDescent="0.25">
      <c r="E17" s="2" t="s">
        <v>52</v>
      </c>
      <c r="F17" s="3">
        <v>3</v>
      </c>
    </row>
    <row r="18" spans="1:6" x14ac:dyDescent="0.25">
      <c r="E18" s="2" t="s">
        <v>53</v>
      </c>
      <c r="F18" s="5">
        <f>_xlfn.CHISQ.INV.RT($E$3,F17)</f>
        <v>11.344866730144371</v>
      </c>
    </row>
    <row r="19" spans="1:6" x14ac:dyDescent="0.25">
      <c r="E19" s="2" t="s">
        <v>54</v>
      </c>
      <c r="F19" s="7" t="str">
        <f>IF(F16&lt;=F18,"H0 принимается","H0 отвергается")</f>
        <v>H0 принимается</v>
      </c>
    </row>
    <row r="22" spans="1:6" x14ac:dyDescent="0.25">
      <c r="A22" s="2" t="s">
        <v>55</v>
      </c>
    </row>
    <row r="23" spans="1:6" x14ac:dyDescent="0.25">
      <c r="A23" s="2" t="s">
        <v>11</v>
      </c>
      <c r="B23" s="2" t="s">
        <v>20</v>
      </c>
      <c r="C23" s="2" t="s">
        <v>56</v>
      </c>
      <c r="D23" s="2" t="s">
        <v>57</v>
      </c>
    </row>
    <row r="24" spans="1:6" x14ac:dyDescent="0.25">
      <c r="A24" s="4">
        <f>'Интервальный ряд'!B7</f>
        <v>16.97</v>
      </c>
      <c r="B24" s="5">
        <v>0</v>
      </c>
      <c r="C24" s="5">
        <f>_xlfn.NORM.DIST(A24,$B$3,$B$4,TRUE)</f>
        <v>9.5053490929952935E-3</v>
      </c>
      <c r="D24" s="5">
        <f t="shared" ref="D24:D31" si="2">ABS(B24-C24)</f>
        <v>9.5053490929952935E-3</v>
      </c>
    </row>
    <row r="25" spans="1:6" x14ac:dyDescent="0.25">
      <c r="A25" s="4">
        <f>'Интервальный ряд'!C7</f>
        <v>22.148571428571429</v>
      </c>
      <c r="B25" s="5">
        <f>'ЭФР и кумулята'!D4</f>
        <v>3.6036036036036036E-2</v>
      </c>
      <c r="C25" s="5">
        <f t="shared" ref="C25:C31" si="3">_xlfn.NORM.DIST(A25,$B$3,$B$4,TRUE)</f>
        <v>5.2275101253441876E-2</v>
      </c>
      <c r="D25" s="5">
        <f t="shared" si="2"/>
        <v>1.623906521740584E-2</v>
      </c>
    </row>
    <row r="26" spans="1:6" x14ac:dyDescent="0.25">
      <c r="A26" s="4">
        <f>'Интервальный ряд'!C8</f>
        <v>27.327142857142857</v>
      </c>
      <c r="B26" s="5">
        <f>'ЭФР и кумулята'!D5</f>
        <v>0.18018018018018017</v>
      </c>
      <c r="C26" s="5">
        <f t="shared" si="3"/>
        <v>0.18378201032339178</v>
      </c>
      <c r="D26" s="5">
        <f t="shared" si="2"/>
        <v>3.6018301432116095E-3</v>
      </c>
    </row>
    <row r="27" spans="1:6" x14ac:dyDescent="0.25">
      <c r="A27" s="4">
        <f>'Интервальный ряд'!C9</f>
        <v>32.505714285714284</v>
      </c>
      <c r="B27" s="5">
        <f>'ЭФР и кумулята'!D6</f>
        <v>0.44144144144144143</v>
      </c>
      <c r="C27" s="5">
        <f t="shared" si="3"/>
        <v>0.42900497388507308</v>
      </c>
      <c r="D27" s="5">
        <f t="shared" si="2"/>
        <v>1.2436467556368347E-2</v>
      </c>
    </row>
    <row r="28" spans="1:6" x14ac:dyDescent="0.25">
      <c r="A28" s="4">
        <f>'Интервальный ряд'!C10</f>
        <v>37.684285714285714</v>
      </c>
      <c r="B28" s="5">
        <f>'ЭФР и кумулята'!D7</f>
        <v>0.74774774774774766</v>
      </c>
      <c r="C28" s="5">
        <f t="shared" si="3"/>
        <v>0.70651417667979177</v>
      </c>
      <c r="D28" s="5">
        <f t="shared" si="2"/>
        <v>4.1233571067955888E-2</v>
      </c>
    </row>
    <row r="29" spans="1:6" x14ac:dyDescent="0.25">
      <c r="A29" s="4">
        <f>'Интервальный ряд'!C11</f>
        <v>42.862857142857145</v>
      </c>
      <c r="B29" s="5">
        <f>'ЭФР и кумулята'!D8</f>
        <v>0.89189189189189177</v>
      </c>
      <c r="C29" s="5">
        <f t="shared" si="3"/>
        <v>0.8971301775647561</v>
      </c>
      <c r="D29" s="5">
        <f t="shared" si="2"/>
        <v>5.238285672864329E-3</v>
      </c>
    </row>
    <row r="30" spans="1:6" x14ac:dyDescent="0.25">
      <c r="A30" s="4">
        <f>'Интервальный ряд'!C12</f>
        <v>48.041428571428568</v>
      </c>
      <c r="B30" s="5">
        <f>'ЭФР и кумулята'!D9</f>
        <v>0.95495495495495486</v>
      </c>
      <c r="C30" s="5">
        <f t="shared" si="3"/>
        <v>0.97656677663115476</v>
      </c>
      <c r="D30" s="5">
        <f t="shared" si="2"/>
        <v>2.1611821676199905E-2</v>
      </c>
    </row>
    <row r="31" spans="1:6" x14ac:dyDescent="0.25">
      <c r="A31" s="4">
        <f>'Интервальный ряд'!C13</f>
        <v>53.22</v>
      </c>
      <c r="B31" s="5">
        <f>'ЭФР и кумулята'!D10</f>
        <v>0.99999999999999989</v>
      </c>
      <c r="C31" s="5">
        <f t="shared" si="3"/>
        <v>0.99663221535083513</v>
      </c>
      <c r="D31" s="5">
        <f t="shared" si="2"/>
        <v>3.3677846491647623E-3</v>
      </c>
    </row>
    <row r="32" spans="1:6" x14ac:dyDescent="0.25">
      <c r="C32" s="2" t="s">
        <v>58</v>
      </c>
      <c r="D32" s="5">
        <f>MAX(D24:D31)</f>
        <v>4.1233571067955888E-2</v>
      </c>
    </row>
    <row r="33" spans="1:4" x14ac:dyDescent="0.25">
      <c r="C33" s="2" t="s">
        <v>59</v>
      </c>
      <c r="D33" s="5">
        <f>SQRT($B$5)*D32</f>
        <v>0.43442262776562957</v>
      </c>
    </row>
    <row r="34" spans="1:4" x14ac:dyDescent="0.25">
      <c r="C34" s="2" t="s">
        <v>60</v>
      </c>
      <c r="D34" s="7" t="str">
        <f>IF(D33&lt;$E$5,"H0 принимается","H0 отвергается")</f>
        <v>H0 принимается</v>
      </c>
    </row>
    <row r="37" spans="1:4" x14ac:dyDescent="0.25">
      <c r="A37" s="2" t="s">
        <v>61</v>
      </c>
    </row>
    <row r="38" spans="1:4" x14ac:dyDescent="0.25">
      <c r="A38" s="2" t="s">
        <v>71</v>
      </c>
      <c r="B38" s="5">
        <f>_xlfn.T.INV($E$4,$B$5-1)</f>
        <v>2.3607263416580362</v>
      </c>
    </row>
    <row r="39" spans="1:4" x14ac:dyDescent="0.25">
      <c r="A39" s="2" t="s">
        <v>72</v>
      </c>
      <c r="B39" s="5">
        <f>B38*_xlfn.STDEV.P(X)/SQRT($B$5-1)</f>
        <v>1.6018174251729258</v>
      </c>
    </row>
    <row r="40" spans="1:4" x14ac:dyDescent="0.25">
      <c r="A40" s="2" t="s">
        <v>62</v>
      </c>
      <c r="B40" s="7" t="str">
        <f>IF(AND(ISNUMBER($B$3),ISNUMBER(B39)), "(" &amp; TEXT($B$3-B39,"0,000") &amp; "; " &amp; TEXT($B$3+B39,"0,000") &amp; ")", "")</f>
        <v>(32,187; 35,391)</v>
      </c>
    </row>
    <row r="42" spans="1:4" x14ac:dyDescent="0.25">
      <c r="A42" s="2" t="s">
        <v>63</v>
      </c>
      <c r="B42" s="5">
        <f>(1+$E$4)/2</f>
        <v>0.995</v>
      </c>
      <c r="C42" s="5">
        <f>(1-$E$4)/2</f>
        <v>5.0000000000000044E-3</v>
      </c>
    </row>
    <row r="43" spans="1:4" x14ac:dyDescent="0.25">
      <c r="A43" s="2" t="s">
        <v>74</v>
      </c>
      <c r="B43" s="5">
        <f>_xlfn.CHISQ.INV(1-B42,$B$5-1)</f>
        <v>75.550044927452106</v>
      </c>
    </row>
    <row r="44" spans="1:4" x14ac:dyDescent="0.25">
      <c r="A44" s="2" t="s">
        <v>75</v>
      </c>
      <c r="B44" s="5">
        <f>_xlfn.CHISQ.INV(1-C42,$B$5-1)</f>
        <v>151.94848293702353</v>
      </c>
    </row>
    <row r="45" spans="1:4" x14ac:dyDescent="0.25">
      <c r="A45" s="2" t="s">
        <v>64</v>
      </c>
      <c r="B45" s="7" t="str">
        <f>IFERROR("(" &amp; TEXT($B$4*SQRT(($B$5-1)/B44),"0,000") &amp; "; " &amp; TEXT($B$4*SQRT(($B$5-1)/B43),"0,000") &amp; ")", "—")</f>
        <v>(6,102; 8,653)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Данные</vt:lpstr>
      <vt:lpstr>Вариационный ряд</vt:lpstr>
      <vt:lpstr>Интервальный ряд</vt:lpstr>
      <vt:lpstr>ЭФР и кумулята</vt:lpstr>
      <vt:lpstr>Оценки</vt:lpstr>
      <vt:lpstr>Гистограмма</vt:lpstr>
      <vt:lpstr>ЛР7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 Тер</cp:lastModifiedBy>
  <dcterms:created xsi:type="dcterms:W3CDTF">2026-03-18T03:43:31Z</dcterms:created>
  <dcterms:modified xsi:type="dcterms:W3CDTF">2026-05-28T18:18:12Z</dcterms:modified>
</cp:coreProperties>
</file>