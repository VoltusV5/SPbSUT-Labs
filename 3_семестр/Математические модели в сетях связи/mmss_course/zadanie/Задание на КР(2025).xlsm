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328" codeName="{DD97A8EA-9A9A-E61F-A557-7D5A7D7259C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Educational activities\2_course\math models\cursach — копия\mmss_course_project\zadanie\"/>
    </mc:Choice>
  </mc:AlternateContent>
  <xr:revisionPtr revIDLastSave="0" documentId="13_ncr:1_{95CEEA63-44C8-4571-83E1-95A1615D485B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param" sheetId="1" r:id="rId1"/>
    <sheet name="Matr" sheetId="15" state="hidden" r:id="rId2"/>
    <sheet name="generator" sheetId="18" state="hidden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9" i="1" l="1"/>
  <c r="F49" i="1"/>
  <c r="AU60" i="1"/>
  <c r="AY60" i="1"/>
  <c r="AX9" i="1"/>
  <c r="AX43" i="1"/>
  <c r="AX44" i="1"/>
  <c r="AX45" i="1"/>
  <c r="AX46" i="1"/>
  <c r="AX47" i="1"/>
  <c r="AX48" i="1"/>
  <c r="AW43" i="1"/>
  <c r="AW44" i="1"/>
  <c r="AW45" i="1"/>
  <c r="AW46" i="1"/>
  <c r="AW47" i="1"/>
  <c r="AW48" i="1"/>
  <c r="I60" i="1"/>
  <c r="J60" i="1"/>
  <c r="K60" i="1"/>
  <c r="L60" i="1"/>
  <c r="M60" i="1"/>
  <c r="N60" i="1"/>
  <c r="O60" i="1"/>
  <c r="P60" i="1"/>
  <c r="Q60" i="1"/>
  <c r="R60" i="1"/>
  <c r="S60" i="1"/>
  <c r="T60" i="1"/>
  <c r="U60" i="1"/>
  <c r="V60" i="1"/>
  <c r="W60" i="1"/>
  <c r="X60" i="1"/>
  <c r="Y60" i="1"/>
  <c r="Z60" i="1"/>
  <c r="AA60" i="1"/>
  <c r="AB60" i="1"/>
  <c r="AC60" i="1"/>
  <c r="AD60" i="1"/>
  <c r="AE60" i="1"/>
  <c r="AF60" i="1"/>
  <c r="AG60" i="1"/>
  <c r="AH60" i="1"/>
  <c r="AI60" i="1"/>
  <c r="AJ60" i="1"/>
  <c r="AK60" i="1"/>
  <c r="AL60" i="1"/>
  <c r="AM60" i="1"/>
  <c r="AN60" i="1"/>
  <c r="AO60" i="1"/>
  <c r="AP60" i="1"/>
  <c r="AQ60" i="1"/>
  <c r="AR60" i="1"/>
  <c r="AS60" i="1"/>
  <c r="AT60" i="1"/>
  <c r="H60" i="1"/>
  <c r="AX10" i="1"/>
  <c r="AX11" i="1"/>
  <c r="AX12" i="1"/>
  <c r="AX13" i="1"/>
  <c r="AX14" i="1"/>
  <c r="AX15" i="1"/>
  <c r="AX16" i="1"/>
  <c r="AX17" i="1"/>
  <c r="AX18" i="1"/>
  <c r="AX19" i="1"/>
  <c r="AX20" i="1"/>
  <c r="AX21" i="1"/>
  <c r="AX22" i="1"/>
  <c r="AX23" i="1"/>
  <c r="AX24" i="1"/>
  <c r="AX25" i="1"/>
  <c r="AX26" i="1"/>
  <c r="AX27" i="1"/>
  <c r="AX28" i="1"/>
  <c r="AX29" i="1"/>
  <c r="AX30" i="1"/>
  <c r="AX31" i="1"/>
  <c r="AX32" i="1"/>
  <c r="AX33" i="1"/>
  <c r="AX34" i="1"/>
  <c r="AX35" i="1"/>
  <c r="AX36" i="1"/>
  <c r="AX37" i="1"/>
  <c r="AX38" i="1"/>
  <c r="AX39" i="1"/>
  <c r="AX40" i="1"/>
  <c r="AX41" i="1"/>
  <c r="AX42" i="1"/>
  <c r="D42" i="1" l="1"/>
  <c r="D31" i="1"/>
  <c r="D29" i="1"/>
  <c r="D27" i="1"/>
  <c r="D26" i="1"/>
  <c r="D28" i="1"/>
  <c r="D23" i="1"/>
  <c r="D43" i="1"/>
  <c r="D12" i="1"/>
  <c r="D33" i="1"/>
  <c r="D39" i="1"/>
  <c r="D40" i="1"/>
  <c r="D41" i="1"/>
  <c r="D9" i="1"/>
  <c r="D13" i="1"/>
  <c r="D34" i="1"/>
  <c r="D35" i="1"/>
  <c r="D15" i="1"/>
  <c r="D16" i="1"/>
  <c r="D14" i="1"/>
  <c r="D36" i="1"/>
  <c r="D37" i="1"/>
  <c r="D18" i="1"/>
  <c r="D20" i="1"/>
  <c r="D17" i="1"/>
  <c r="D38" i="1"/>
  <c r="D19" i="1"/>
  <c r="D22" i="1"/>
  <c r="D44" i="1"/>
  <c r="D25" i="1"/>
  <c r="D46" i="1"/>
  <c r="D24" i="1"/>
  <c r="D45" i="1"/>
  <c r="D48" i="1"/>
  <c r="D30" i="1"/>
  <c r="D10" i="1"/>
  <c r="D32" i="1"/>
  <c r="D21" i="1"/>
  <c r="D47" i="1"/>
  <c r="D11" i="1"/>
  <c r="AX60" i="1"/>
  <c r="AW10" i="1"/>
  <c r="AW11" i="1"/>
  <c r="AW12" i="1"/>
  <c r="AW13" i="1"/>
  <c r="AW14" i="1"/>
  <c r="AW15" i="1"/>
  <c r="AW16" i="1"/>
  <c r="AW17" i="1"/>
  <c r="AW18" i="1"/>
  <c r="AW19" i="1"/>
  <c r="AW20" i="1"/>
  <c r="AW21" i="1"/>
  <c r="AW22" i="1"/>
  <c r="AW23" i="1"/>
  <c r="AW24" i="1"/>
  <c r="AW25" i="1"/>
  <c r="AW26" i="1"/>
  <c r="AW27" i="1"/>
  <c r="AW28" i="1"/>
  <c r="AW29" i="1"/>
  <c r="AW30" i="1"/>
  <c r="AW31" i="1"/>
  <c r="AW32" i="1"/>
  <c r="AW33" i="1"/>
  <c r="AW34" i="1"/>
  <c r="AW35" i="1"/>
  <c r="AW36" i="1"/>
  <c r="AW37" i="1"/>
  <c r="AW38" i="1"/>
  <c r="AW39" i="1"/>
  <c r="AW40" i="1"/>
  <c r="AW41" i="1"/>
  <c r="AW42" i="1"/>
  <c r="AW9" i="1"/>
  <c r="D49" i="1" l="1"/>
  <c r="X7" i="15" l="1"/>
  <c r="Z28" i="15"/>
  <c r="Y7" i="15"/>
  <c r="AB29" i="18"/>
  <c r="B29" i="18"/>
  <c r="U28" i="15"/>
  <c r="X31" i="15"/>
  <c r="V28" i="15" l="1"/>
  <c r="T28" i="15"/>
  <c r="S28" i="15"/>
  <c r="R28" i="15"/>
  <c r="Q28" i="15"/>
  <c r="P28" i="15"/>
  <c r="O28" i="15"/>
  <c r="N28" i="15"/>
  <c r="M28" i="15"/>
  <c r="L28" i="15"/>
  <c r="K28" i="15"/>
  <c r="J28" i="15"/>
  <c r="I28" i="15"/>
  <c r="H28" i="15"/>
  <c r="G28" i="15"/>
  <c r="F28" i="15"/>
  <c r="E28" i="15"/>
  <c r="D28" i="15"/>
  <c r="C28" i="15"/>
  <c r="Y26" i="15"/>
  <c r="X26" i="15"/>
  <c r="Y25" i="15"/>
  <c r="X25" i="15"/>
  <c r="Y24" i="15"/>
  <c r="X24" i="15"/>
  <c r="Y23" i="15"/>
  <c r="X23" i="15"/>
  <c r="Y22" i="15"/>
  <c r="X22" i="15"/>
  <c r="Y21" i="15"/>
  <c r="X21" i="15"/>
  <c r="Y20" i="15"/>
  <c r="X20" i="15"/>
  <c r="Y19" i="15"/>
  <c r="X19" i="15"/>
  <c r="Y18" i="15"/>
  <c r="X18" i="15"/>
  <c r="Y17" i="15"/>
  <c r="X17" i="15"/>
  <c r="Y16" i="15"/>
  <c r="X16" i="15"/>
  <c r="Y15" i="15"/>
  <c r="X15" i="15"/>
  <c r="Y14" i="15"/>
  <c r="X14" i="15"/>
  <c r="Y13" i="15"/>
  <c r="X13" i="15"/>
  <c r="Y12" i="15"/>
  <c r="X12" i="15"/>
  <c r="Y11" i="15"/>
  <c r="X11" i="15"/>
  <c r="Y10" i="15"/>
  <c r="X10" i="15"/>
  <c r="Y9" i="15"/>
  <c r="X9" i="15"/>
  <c r="Y8" i="15"/>
  <c r="X8" i="15"/>
  <c r="Y28" i="15" l="1"/>
  <c r="X28" i="15"/>
</calcChain>
</file>

<file path=xl/sharedStrings.xml><?xml version="1.0" encoding="utf-8"?>
<sst xmlns="http://schemas.openxmlformats.org/spreadsheetml/2006/main" count="60" uniqueCount="38">
  <si>
    <t>Nodes</t>
  </si>
  <si>
    <t>VoIP traf</t>
  </si>
  <si>
    <t>Codec</t>
  </si>
  <si>
    <t>G.711</t>
  </si>
  <si>
    <t>Распределение абонентов по узлам сети</t>
  </si>
  <si>
    <t>Node</t>
  </si>
  <si>
    <t>Subs</t>
  </si>
  <si>
    <t>Всего</t>
  </si>
  <si>
    <t>Ki</t>
  </si>
  <si>
    <t>a0</t>
  </si>
  <si>
    <t>L</t>
  </si>
  <si>
    <t>T</t>
  </si>
  <si>
    <t>байт</t>
  </si>
  <si>
    <t>с</t>
  </si>
  <si>
    <t>шт.</t>
  </si>
  <si>
    <t>Эрл</t>
  </si>
  <si>
    <t>-</t>
  </si>
  <si>
    <t>Матрица расстояний</t>
  </si>
  <si>
    <t>Параметры сети (исходные данные)</t>
  </si>
  <si>
    <t>a</t>
  </si>
  <si>
    <t>b</t>
  </si>
  <si>
    <t>p</t>
  </si>
  <si>
    <t>n</t>
  </si>
  <si>
    <t>бит/с</t>
  </si>
  <si>
    <t>Код задания</t>
  </si>
  <si>
    <r>
      <rPr>
        <b/>
        <i/>
        <sz val="12"/>
        <color theme="1"/>
        <rFont val="Calibri"/>
        <family val="2"/>
        <charset val="204"/>
        <scheme val="minor"/>
      </rPr>
      <t>y</t>
    </r>
    <r>
      <rPr>
        <b/>
        <i/>
        <sz val="9"/>
        <color theme="1"/>
        <rFont val="Calibri"/>
        <family val="2"/>
        <charset val="204"/>
        <scheme val="minor"/>
      </rPr>
      <t>0</t>
    </r>
  </si>
  <si>
    <t>Абонентов</t>
  </si>
  <si>
    <r>
      <rPr>
        <b/>
        <i/>
        <sz val="14"/>
        <color theme="1"/>
        <rFont val="Calibri"/>
        <family val="2"/>
        <charset val="204"/>
        <scheme val="minor"/>
      </rPr>
      <t>a</t>
    </r>
    <r>
      <rPr>
        <b/>
        <sz val="8"/>
        <color theme="1"/>
        <rFont val="Calibri"/>
        <family val="2"/>
        <charset val="204"/>
        <scheme val="minor"/>
      </rPr>
      <t>0</t>
    </r>
  </si>
  <si>
    <t>q</t>
  </si>
  <si>
    <t>%</t>
  </si>
  <si>
    <r>
      <t>T</t>
    </r>
    <r>
      <rPr>
        <b/>
        <i/>
        <sz val="9"/>
        <color theme="1"/>
        <rFont val="Calibri"/>
        <family val="2"/>
        <charset val="204"/>
        <scheme val="minor"/>
      </rPr>
      <t>0</t>
    </r>
  </si>
  <si>
    <t>n1</t>
  </si>
  <si>
    <t>n2</t>
  </si>
  <si>
    <t>Кбит/с</t>
  </si>
  <si>
    <r>
      <rPr>
        <b/>
        <i/>
        <sz val="11"/>
        <color theme="1"/>
        <rFont val="Times New Roman"/>
        <family val="1"/>
      </rPr>
      <t>Y</t>
    </r>
    <r>
      <rPr>
        <b/>
        <sz val="11"/>
        <color theme="1"/>
        <rFont val="Times New Roman"/>
        <family val="1"/>
      </rPr>
      <t>v</t>
    </r>
    <r>
      <rPr>
        <sz val="9"/>
        <color theme="1"/>
        <rFont val="Times New Roman"/>
        <family val="1"/>
      </rPr>
      <t>0</t>
    </r>
  </si>
  <si>
    <r>
      <rPr>
        <b/>
        <i/>
        <sz val="11"/>
        <color theme="1"/>
        <rFont val="Calibri"/>
        <family val="2"/>
        <scheme val="minor"/>
      </rPr>
      <t>a</t>
    </r>
    <r>
      <rPr>
        <sz val="11"/>
        <color theme="1"/>
        <rFont val="Calibri"/>
        <family val="2"/>
        <charset val="204"/>
        <scheme val="minor"/>
      </rPr>
      <t>IoT</t>
    </r>
  </si>
  <si>
    <r>
      <rPr>
        <b/>
        <i/>
        <sz val="11"/>
        <color theme="1"/>
        <rFont val="Calibri"/>
        <family val="2"/>
        <scheme val="minor"/>
      </rPr>
      <t>a</t>
    </r>
    <r>
      <rPr>
        <b/>
        <sz val="11"/>
        <color theme="1"/>
        <rFont val="Calibri"/>
        <family val="2"/>
        <scheme val="minor"/>
      </rPr>
      <t>v</t>
    </r>
    <r>
      <rPr>
        <sz val="11"/>
        <color theme="1"/>
        <rFont val="Calibri"/>
        <family val="2"/>
        <charset val="204"/>
        <scheme val="minor"/>
      </rPr>
      <t>0</t>
    </r>
  </si>
  <si>
    <t>Мбит/с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</si>
</sst>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00"/>
  </numFmts>
  <fonts count="21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  <font>
      <sz val="10"/>
      <color rgb="FF000000"/>
      <name val="Arial Cyr"/>
    </font>
    <font>
      <b/>
      <sz val="11"/>
      <name val="Calibri"/>
      <family val="2"/>
      <charset val="204"/>
      <scheme val="minor"/>
    </font>
    <font>
      <b/>
      <i/>
      <sz val="11"/>
      <color theme="1"/>
      <name val="Calibri"/>
      <family val="2"/>
      <charset val="204"/>
      <scheme val="minor"/>
    </font>
    <font>
      <b/>
      <i/>
      <sz val="9"/>
      <color theme="1"/>
      <name val="Calibri"/>
      <family val="2"/>
      <charset val="204"/>
      <scheme val="minor"/>
    </font>
    <font>
      <b/>
      <i/>
      <sz val="12"/>
      <color theme="1"/>
      <name val="Calibri"/>
      <family val="2"/>
      <charset val="204"/>
      <scheme val="minor"/>
    </font>
    <font>
      <b/>
      <i/>
      <sz val="14"/>
      <color theme="1"/>
      <name val="Calibri"/>
      <family val="2"/>
      <charset val="204"/>
      <scheme val="minor"/>
    </font>
    <font>
      <b/>
      <sz val="8"/>
      <color theme="1"/>
      <name val="Calibri"/>
      <family val="2"/>
      <charset val="204"/>
      <scheme val="minor"/>
    </font>
    <font>
      <i/>
      <sz val="14"/>
      <color theme="1"/>
      <name val="Calibri"/>
      <family val="2"/>
      <charset val="204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Times New Roman"/>
      <family val="1"/>
    </font>
    <font>
      <sz val="9"/>
      <color theme="1"/>
      <name val="Times New Roman"/>
      <family val="1"/>
    </font>
    <font>
      <b/>
      <i/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  <charset val="204"/>
    </font>
  </fonts>
  <fills count="10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6">
    <xf numFmtId="0" fontId="0" fillId="0" borderId="0" xfId="0"/>
    <xf numFmtId="0" fontId="1" fillId="0" borderId="0" xfId="0" applyFont="1"/>
    <xf numFmtId="0" fontId="0" fillId="0" borderId="1" xfId="0" applyBorder="1"/>
    <xf numFmtId="0" fontId="0" fillId="0" borderId="3" xfId="0" applyBorder="1"/>
    <xf numFmtId="0" fontId="1" fillId="2" borderId="2" xfId="0" applyFont="1" applyFill="1" applyBorder="1"/>
    <xf numFmtId="0" fontId="1" fillId="2" borderId="10" xfId="0" applyFont="1" applyFill="1" applyBorder="1"/>
    <xf numFmtId="0" fontId="0" fillId="3" borderId="2" xfId="0" applyFill="1" applyBorder="1"/>
    <xf numFmtId="0" fontId="0" fillId="3" borderId="2" xfId="0" applyFill="1" applyBorder="1" applyAlignment="1">
      <alignment horizontal="right"/>
    </xf>
    <xf numFmtId="0" fontId="0" fillId="2" borderId="3" xfId="0" applyFill="1" applyBorder="1"/>
    <xf numFmtId="0" fontId="0" fillId="2" borderId="1" xfId="0" applyFill="1" applyBorder="1"/>
    <xf numFmtId="0" fontId="0" fillId="3" borderId="3" xfId="0" applyFill="1" applyBorder="1"/>
    <xf numFmtId="0" fontId="0" fillId="3" borderId="1" xfId="0" applyFill="1" applyBorder="1"/>
    <xf numFmtId="0" fontId="1" fillId="2" borderId="4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0" fillId="0" borderId="11" xfId="0" applyBorder="1"/>
    <xf numFmtId="0" fontId="0" fillId="0" borderId="6" xfId="0" applyBorder="1"/>
    <xf numFmtId="0" fontId="0" fillId="2" borderId="2" xfId="0" applyFill="1" applyBorder="1"/>
    <xf numFmtId="0" fontId="0" fillId="2" borderId="9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13" xfId="0" applyFill="1" applyBorder="1"/>
    <xf numFmtId="0" fontId="0" fillId="2" borderId="12" xfId="0" applyFill="1" applyBorder="1"/>
    <xf numFmtId="0" fontId="0" fillId="2" borderId="5" xfId="0" applyFill="1" applyBorder="1"/>
    <xf numFmtId="0" fontId="0" fillId="2" borderId="15" xfId="0" applyFill="1" applyBorder="1"/>
    <xf numFmtId="0" fontId="0" fillId="2" borderId="4" xfId="0" applyFill="1" applyBorder="1"/>
    <xf numFmtId="0" fontId="0" fillId="0" borderId="14" xfId="0" applyBorder="1" applyAlignment="1">
      <alignment horizontal="center"/>
    </xf>
    <xf numFmtId="0" fontId="0" fillId="0" borderId="0" xfId="0" applyAlignment="1">
      <alignment horizontal="left"/>
    </xf>
    <xf numFmtId="0" fontId="1" fillId="2" borderId="2" xfId="0" applyFont="1" applyFill="1" applyBorder="1" applyAlignment="1">
      <alignment horizontal="right"/>
    </xf>
    <xf numFmtId="11" fontId="0" fillId="3" borderId="2" xfId="0" applyNumberFormat="1" applyFill="1" applyBorder="1"/>
    <xf numFmtId="164" fontId="0" fillId="0" borderId="15" xfId="0" applyNumberFormat="1" applyBorder="1"/>
    <xf numFmtId="164" fontId="0" fillId="0" borderId="7" xfId="0" applyNumberFormat="1" applyBorder="1"/>
    <xf numFmtId="164" fontId="0" fillId="0" borderId="8" xfId="0" applyNumberFormat="1" applyBorder="1"/>
    <xf numFmtId="0" fontId="2" fillId="0" borderId="0" xfId="0" applyFont="1"/>
    <xf numFmtId="164" fontId="2" fillId="0" borderId="0" xfId="0" applyNumberFormat="1" applyFont="1"/>
    <xf numFmtId="0" fontId="0" fillId="0" borderId="2" xfId="0" applyBorder="1"/>
    <xf numFmtId="0" fontId="0" fillId="0" borderId="16" xfId="0" applyBorder="1"/>
    <xf numFmtId="1" fontId="0" fillId="4" borderId="1" xfId="0" applyNumberFormat="1" applyFill="1" applyBorder="1"/>
    <xf numFmtId="0" fontId="0" fillId="5" borderId="1" xfId="0" applyFill="1" applyBorder="1"/>
    <xf numFmtId="0" fontId="0" fillId="4" borderId="1" xfId="0" applyFill="1" applyBorder="1"/>
    <xf numFmtId="0" fontId="0" fillId="6" borderId="1" xfId="0" applyFill="1" applyBorder="1"/>
    <xf numFmtId="1" fontId="0" fillId="0" borderId="0" xfId="0" applyNumberFormat="1"/>
    <xf numFmtId="0" fontId="4" fillId="7" borderId="17" xfId="0" applyFont="1" applyFill="1" applyBorder="1"/>
    <xf numFmtId="0" fontId="4" fillId="7" borderId="18" xfId="0" applyFont="1" applyFill="1" applyBorder="1"/>
    <xf numFmtId="0" fontId="0" fillId="8" borderId="2" xfId="0" applyFill="1" applyBorder="1"/>
    <xf numFmtId="0" fontId="0" fillId="0" borderId="0" xfId="0" applyAlignment="1">
      <alignment horizontal="center"/>
    </xf>
    <xf numFmtId="164" fontId="0" fillId="0" borderId="0" xfId="0" applyNumberFormat="1"/>
    <xf numFmtId="165" fontId="0" fillId="0" borderId="1" xfId="0" applyNumberFormat="1" applyBorder="1"/>
    <xf numFmtId="0" fontId="5" fillId="2" borderId="2" xfId="0" applyFont="1" applyFill="1" applyBorder="1" applyAlignment="1">
      <alignment horizontal="right"/>
    </xf>
    <xf numFmtId="0" fontId="5" fillId="2" borderId="2" xfId="0" applyFont="1" applyFill="1" applyBorder="1"/>
    <xf numFmtId="0" fontId="1" fillId="0" borderId="0" xfId="0" applyFont="1" applyAlignment="1">
      <alignment horizontal="right"/>
    </xf>
    <xf numFmtId="0" fontId="5" fillId="5" borderId="2" xfId="0" applyFont="1" applyFill="1" applyBorder="1" applyAlignment="1">
      <alignment horizontal="right"/>
    </xf>
    <xf numFmtId="0" fontId="10" fillId="5" borderId="2" xfId="0" applyFont="1" applyFill="1" applyBorder="1" applyAlignment="1">
      <alignment horizontal="right"/>
    </xf>
    <xf numFmtId="11" fontId="0" fillId="5" borderId="2" xfId="0" applyNumberFormat="1" applyFill="1" applyBorder="1"/>
    <xf numFmtId="0" fontId="0" fillId="5" borderId="2" xfId="0" applyFill="1" applyBorder="1"/>
    <xf numFmtId="166" fontId="0" fillId="0" borderId="0" xfId="0" applyNumberFormat="1"/>
    <xf numFmtId="0" fontId="0" fillId="3" borderId="16" xfId="0" applyFill="1" applyBorder="1"/>
    <xf numFmtId="0" fontId="11" fillId="2" borderId="2" xfId="0" applyFont="1" applyFill="1" applyBorder="1"/>
    <xf numFmtId="0" fontId="12" fillId="0" borderId="0" xfId="0" applyFont="1"/>
    <xf numFmtId="0" fontId="1" fillId="2" borderId="16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0" fillId="3" borderId="15" xfId="0" applyFill="1" applyBorder="1"/>
    <xf numFmtId="0" fontId="0" fillId="3" borderId="7" xfId="0" applyFill="1" applyBorder="1"/>
    <xf numFmtId="0" fontId="0" fillId="3" borderId="8" xfId="0" applyFill="1" applyBorder="1"/>
    <xf numFmtId="165" fontId="0" fillId="0" borderId="11" xfId="0" applyNumberFormat="1" applyBorder="1"/>
    <xf numFmtId="165" fontId="0" fillId="0" borderId="3" xfId="0" applyNumberFormat="1" applyBorder="1"/>
    <xf numFmtId="165" fontId="0" fillId="0" borderId="6" xfId="0" applyNumberFormat="1" applyBorder="1"/>
    <xf numFmtId="164" fontId="12" fillId="0" borderId="0" xfId="0" applyNumberFormat="1" applyFont="1"/>
    <xf numFmtId="165" fontId="12" fillId="0" borderId="0" xfId="0" applyNumberFormat="1" applyFont="1"/>
    <xf numFmtId="0" fontId="13" fillId="9" borderId="15" xfId="0" applyFont="1" applyFill="1" applyBorder="1"/>
    <xf numFmtId="0" fontId="18" fillId="9" borderId="7" xfId="0" applyFont="1" applyFill="1" applyBorder="1"/>
    <xf numFmtId="0" fontId="18" fillId="9" borderId="8" xfId="0" applyFont="1" applyFill="1" applyBorder="1"/>
    <xf numFmtId="0" fontId="0" fillId="0" borderId="19" xfId="0" applyBorder="1" applyAlignment="1">
      <alignment horizontal="right"/>
    </xf>
    <xf numFmtId="0" fontId="0" fillId="0" borderId="20" xfId="0" applyBorder="1" applyAlignment="1">
      <alignment horizontal="right"/>
    </xf>
    <xf numFmtId="0" fontId="0" fillId="0" borderId="21" xfId="0" applyBorder="1" applyAlignment="1">
      <alignment horizontal="right"/>
    </xf>
    <xf numFmtId="165" fontId="0" fillId="3" borderId="7" xfId="0" applyNumberFormat="1" applyFill="1" applyBorder="1"/>
    <xf numFmtId="165" fontId="19" fillId="0" borderId="1" xfId="0" applyNumberFormat="1" applyFont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99060</xdr:colOff>
          <xdr:row>50</xdr:row>
          <xdr:rowOff>182880</xdr:rowOff>
        </xdr:from>
        <xdr:to>
          <xdr:col>4</xdr:col>
          <xdr:colOff>381000</xdr:colOff>
          <xdr:row>52</xdr:row>
          <xdr:rowOff>22860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0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Генерировать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403860</xdr:colOff>
          <xdr:row>2</xdr:row>
          <xdr:rowOff>30480</xdr:rowOff>
        </xdr:from>
        <xdr:to>
          <xdr:col>25</xdr:col>
          <xdr:colOff>601980</xdr:colOff>
          <xdr:row>3</xdr:row>
          <xdr:rowOff>114300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1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Создать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AY64"/>
  <sheetViews>
    <sheetView tabSelected="1" topLeftCell="A17" zoomScale="70" zoomScaleNormal="70" workbookViewId="0">
      <selection activeCell="H6" sqref="H6"/>
    </sheetView>
  </sheetViews>
  <sheetFormatPr defaultRowHeight="14.4" x14ac:dyDescent="0.3"/>
  <cols>
    <col min="2" max="2" width="11.44140625" customWidth="1"/>
    <col min="5" max="5" width="10.109375" customWidth="1"/>
    <col min="6" max="6" width="9.6640625" customWidth="1"/>
    <col min="7" max="7" width="5.109375" customWidth="1"/>
    <col min="8" max="47" width="5.5546875" customWidth="1"/>
    <col min="49" max="51" width="0" hidden="1" customWidth="1"/>
  </cols>
  <sheetData>
    <row r="1" spans="1:51" ht="15" thickBot="1" x14ac:dyDescent="0.35">
      <c r="A1" s="1" t="s">
        <v>18</v>
      </c>
    </row>
    <row r="2" spans="1:51" ht="15" thickBot="1" x14ac:dyDescent="0.35">
      <c r="A2" s="56" t="s">
        <v>31</v>
      </c>
      <c r="B2" s="55">
        <v>20</v>
      </c>
      <c r="C2" t="s">
        <v>14</v>
      </c>
    </row>
    <row r="3" spans="1:51" ht="15" thickBot="1" x14ac:dyDescent="0.35">
      <c r="A3" s="4" t="s">
        <v>32</v>
      </c>
      <c r="B3" s="6">
        <v>40</v>
      </c>
      <c r="C3" t="s">
        <v>14</v>
      </c>
      <c r="D3" s="47" t="s">
        <v>10</v>
      </c>
      <c r="E3" s="6">
        <v>200</v>
      </c>
      <c r="F3" t="s">
        <v>12</v>
      </c>
    </row>
    <row r="4" spans="1:51" ht="18.600000000000001" thickBot="1" x14ac:dyDescent="0.4">
      <c r="A4" s="48" t="s">
        <v>25</v>
      </c>
      <c r="B4" s="6">
        <v>0.1</v>
      </c>
      <c r="C4" t="s">
        <v>15</v>
      </c>
      <c r="D4" s="27" t="s">
        <v>27</v>
      </c>
      <c r="E4" s="6">
        <v>85600</v>
      </c>
      <c r="F4" s="26" t="s">
        <v>23</v>
      </c>
      <c r="G4" s="49"/>
    </row>
    <row r="5" spans="1:51" ht="15" thickBot="1" x14ac:dyDescent="0.35">
      <c r="A5" s="5" t="s">
        <v>2</v>
      </c>
      <c r="B5" s="7" t="s">
        <v>3</v>
      </c>
      <c r="C5" t="s">
        <v>16</v>
      </c>
      <c r="D5" s="50" t="s">
        <v>30</v>
      </c>
      <c r="E5" s="52">
        <v>0.1</v>
      </c>
      <c r="F5" s="26" t="s">
        <v>13</v>
      </c>
    </row>
    <row r="6" spans="1:51" ht="18.600000000000001" thickBot="1" x14ac:dyDescent="0.4">
      <c r="A6" s="56" t="s">
        <v>22</v>
      </c>
      <c r="B6" s="6">
        <v>27</v>
      </c>
      <c r="C6" t="s">
        <v>14</v>
      </c>
      <c r="D6" s="51" t="s">
        <v>28</v>
      </c>
      <c r="E6" s="53">
        <v>98</v>
      </c>
      <c r="F6" t="s">
        <v>29</v>
      </c>
    </row>
    <row r="7" spans="1:51" ht="15" thickBot="1" x14ac:dyDescent="0.35">
      <c r="A7" s="1" t="s">
        <v>4</v>
      </c>
      <c r="G7" s="1" t="s">
        <v>17</v>
      </c>
    </row>
    <row r="8" spans="1:51" ht="15" thickBot="1" x14ac:dyDescent="0.35">
      <c r="A8" s="59" t="s">
        <v>22</v>
      </c>
      <c r="B8" s="58" t="s">
        <v>26</v>
      </c>
      <c r="D8" s="25" t="s">
        <v>8</v>
      </c>
      <c r="H8" s="24">
        <v>1</v>
      </c>
      <c r="I8" s="21">
        <v>2</v>
      </c>
      <c r="J8" s="21">
        <v>3</v>
      </c>
      <c r="K8" s="21">
        <v>4</v>
      </c>
      <c r="L8" s="21">
        <v>5</v>
      </c>
      <c r="M8" s="21">
        <v>6</v>
      </c>
      <c r="N8" s="21">
        <v>7</v>
      </c>
      <c r="O8" s="21">
        <v>8</v>
      </c>
      <c r="P8" s="21">
        <v>9</v>
      </c>
      <c r="Q8" s="21">
        <v>10</v>
      </c>
      <c r="R8" s="21">
        <v>11</v>
      </c>
      <c r="S8" s="21">
        <v>12</v>
      </c>
      <c r="T8" s="21">
        <v>13</v>
      </c>
      <c r="U8" s="21">
        <v>14</v>
      </c>
      <c r="V8" s="21">
        <v>15</v>
      </c>
      <c r="W8" s="21">
        <v>16</v>
      </c>
      <c r="X8" s="21">
        <v>17</v>
      </c>
      <c r="Y8" s="21">
        <v>18</v>
      </c>
      <c r="Z8" s="21">
        <v>19</v>
      </c>
      <c r="AA8" s="21">
        <v>20</v>
      </c>
      <c r="AB8" s="21">
        <v>21</v>
      </c>
      <c r="AC8" s="21">
        <v>22</v>
      </c>
      <c r="AD8" s="21">
        <v>23</v>
      </c>
      <c r="AE8" s="21">
        <v>24</v>
      </c>
      <c r="AF8" s="21">
        <v>25</v>
      </c>
      <c r="AG8" s="21">
        <v>26</v>
      </c>
      <c r="AH8" s="21">
        <v>27</v>
      </c>
      <c r="AI8" s="21">
        <v>28</v>
      </c>
      <c r="AJ8" s="21">
        <v>29</v>
      </c>
      <c r="AK8" s="21">
        <v>30</v>
      </c>
      <c r="AL8" s="21">
        <v>31</v>
      </c>
      <c r="AM8" s="21">
        <v>32</v>
      </c>
      <c r="AN8" s="21">
        <v>33</v>
      </c>
      <c r="AO8" s="21">
        <v>34</v>
      </c>
      <c r="AP8" s="21">
        <v>35</v>
      </c>
      <c r="AQ8" s="21">
        <v>36</v>
      </c>
      <c r="AR8" s="21">
        <v>37</v>
      </c>
      <c r="AS8" s="21">
        <v>38</v>
      </c>
      <c r="AT8" s="21">
        <v>39</v>
      </c>
      <c r="AU8" s="22">
        <v>40</v>
      </c>
    </row>
    <row r="9" spans="1:51" x14ac:dyDescent="0.3">
      <c r="A9" s="17">
        <v>1</v>
      </c>
      <c r="B9" s="60">
        <v>5207</v>
      </c>
      <c r="D9" s="29">
        <f>B9/$B$49</f>
        <v>3.6279141061549822E-2</v>
      </c>
      <c r="E9" s="54"/>
      <c r="G9" s="23">
        <v>1</v>
      </c>
      <c r="H9" s="63">
        <v>0</v>
      </c>
      <c r="I9" s="64">
        <v>7.1491122245788574</v>
      </c>
      <c r="J9" s="64">
        <v>79.461073875427246</v>
      </c>
      <c r="K9" s="64">
        <v>93.453657627105713</v>
      </c>
      <c r="L9" s="64">
        <v>96.349000930786133</v>
      </c>
      <c r="M9" s="64"/>
      <c r="N9" s="64">
        <v>91.434025764465332</v>
      </c>
      <c r="O9" s="64">
        <v>46.384632587432861</v>
      </c>
      <c r="P9" s="64">
        <v>55.896568298339844</v>
      </c>
      <c r="Q9" s="64"/>
      <c r="R9" s="64"/>
      <c r="S9" s="64"/>
      <c r="T9" s="64"/>
      <c r="U9" s="64"/>
      <c r="V9" s="64"/>
      <c r="W9" s="64"/>
      <c r="X9" s="64"/>
      <c r="Y9" s="64">
        <v>2.4728655815124512</v>
      </c>
      <c r="Z9" s="64">
        <v>24.05393123626709</v>
      </c>
      <c r="AA9" s="64"/>
      <c r="AB9" s="64">
        <v>43.789148330688477</v>
      </c>
      <c r="AC9" s="64">
        <v>13.175904750823975</v>
      </c>
      <c r="AD9" s="64">
        <v>44.211697578430176</v>
      </c>
      <c r="AE9" s="64">
        <v>13.458263874053955</v>
      </c>
      <c r="AF9" s="64">
        <v>57.908248901367188</v>
      </c>
      <c r="AG9" s="64"/>
      <c r="AH9" s="64"/>
      <c r="AI9" s="64"/>
      <c r="AJ9" s="64"/>
      <c r="AK9" s="64"/>
      <c r="AL9" s="64"/>
      <c r="AM9" s="64"/>
      <c r="AN9" s="64"/>
      <c r="AO9" s="64"/>
      <c r="AP9" s="64"/>
      <c r="AQ9" s="64"/>
      <c r="AR9" s="64"/>
      <c r="AS9" s="64"/>
      <c r="AT9" s="64"/>
      <c r="AU9" s="64"/>
      <c r="AW9" s="40">
        <f>SUM(H9:AU9)</f>
        <v>669.1981315612793</v>
      </c>
      <c r="AX9">
        <f t="shared" ref="AX9:AX48" si="0">COUNTIF(H9:AU9,"&gt;0")</f>
        <v>14</v>
      </c>
      <c r="AY9">
        <v>1</v>
      </c>
    </row>
    <row r="10" spans="1:51" x14ac:dyDescent="0.3">
      <c r="A10" s="18">
        <v>2</v>
      </c>
      <c r="B10" s="61">
        <v>9877</v>
      </c>
      <c r="D10" s="30">
        <f t="shared" ref="D10:D48" si="1">B10/$B$49</f>
        <v>6.8816799743600457E-2</v>
      </c>
      <c r="E10" s="45"/>
      <c r="G10" s="18">
        <v>2</v>
      </c>
      <c r="H10" s="65">
        <v>7.1491122245788574</v>
      </c>
      <c r="I10" s="46">
        <v>0</v>
      </c>
      <c r="J10" s="46">
        <v>72.544801235198975</v>
      </c>
      <c r="K10" s="46">
        <v>12.027859687805176</v>
      </c>
      <c r="L10" s="46"/>
      <c r="M10" s="46"/>
      <c r="N10" s="46">
        <v>48.172461986541748</v>
      </c>
      <c r="O10" s="46">
        <v>22.683978080749512</v>
      </c>
      <c r="P10" s="46">
        <v>29.067766666412354</v>
      </c>
      <c r="Q10" s="46">
        <v>14.301824569702148</v>
      </c>
      <c r="R10" s="46"/>
      <c r="S10" s="46">
        <v>91.758370399475098</v>
      </c>
      <c r="T10" s="46"/>
      <c r="U10" s="46"/>
      <c r="V10" s="46">
        <v>72.326648235321045</v>
      </c>
      <c r="W10" s="46">
        <v>68.616271018981934</v>
      </c>
      <c r="X10" s="46">
        <v>34.0035080909729</v>
      </c>
      <c r="Y10" s="46">
        <v>70.59330940246582</v>
      </c>
      <c r="Z10" s="46">
        <v>14.114892482757568</v>
      </c>
      <c r="AA10" s="46"/>
      <c r="AB10" s="46"/>
      <c r="AC10" s="46">
        <v>24.635505676269531</v>
      </c>
      <c r="AD10" s="46">
        <v>75.905883312225342</v>
      </c>
      <c r="AE10" s="46"/>
      <c r="AF10" s="46"/>
      <c r="AG10" s="46">
        <v>89.366483688354492</v>
      </c>
      <c r="AH10" s="46"/>
      <c r="AI10" s="46"/>
      <c r="AJ10" s="46"/>
      <c r="AK10" s="46"/>
      <c r="AL10" s="46"/>
      <c r="AM10" s="46"/>
      <c r="AN10" s="46"/>
      <c r="AO10" s="46"/>
      <c r="AP10" s="46"/>
      <c r="AQ10" s="46"/>
      <c r="AR10" s="46"/>
      <c r="AS10" s="46"/>
      <c r="AT10" s="46"/>
      <c r="AU10" s="46"/>
      <c r="AW10" s="40">
        <f t="shared" ref="AW10:AW48" si="2">SUM(H10:AU10)</f>
        <v>747.2686767578125</v>
      </c>
      <c r="AX10">
        <f t="shared" si="0"/>
        <v>16</v>
      </c>
      <c r="AY10">
        <v>2</v>
      </c>
    </row>
    <row r="11" spans="1:51" x14ac:dyDescent="0.3">
      <c r="A11" s="18">
        <v>3</v>
      </c>
      <c r="B11" s="61">
        <v>4981</v>
      </c>
      <c r="D11" s="30">
        <f t="shared" si="1"/>
        <v>3.4704513467943093E-2</v>
      </c>
      <c r="E11" s="45"/>
      <c r="G11" s="18">
        <v>3</v>
      </c>
      <c r="H11" s="65">
        <v>79.461073875427246</v>
      </c>
      <c r="I11" s="46">
        <v>72.544801235198975</v>
      </c>
      <c r="J11" s="46">
        <v>0</v>
      </c>
      <c r="K11" s="46"/>
      <c r="L11" s="46">
        <v>99.436259269714355</v>
      </c>
      <c r="M11" s="46"/>
      <c r="N11" s="46"/>
      <c r="O11" s="46"/>
      <c r="P11" s="46"/>
      <c r="Q11" s="46">
        <v>36.258041858673096</v>
      </c>
      <c r="R11" s="46">
        <v>10.580921173095703</v>
      </c>
      <c r="S11" s="46">
        <v>86.443126201629639</v>
      </c>
      <c r="T11" s="46">
        <v>97.870993614196777</v>
      </c>
      <c r="U11" s="46">
        <v>83.315908908843994</v>
      </c>
      <c r="V11" s="46">
        <v>86.386728286743164</v>
      </c>
      <c r="W11" s="46">
        <v>42.910325527191162</v>
      </c>
      <c r="X11" s="46"/>
      <c r="Y11" s="46"/>
      <c r="Z11" s="46"/>
      <c r="AA11" s="46"/>
      <c r="AB11" s="46">
        <v>78.806948661804199</v>
      </c>
      <c r="AC11" s="46">
        <v>53.186953067779541</v>
      </c>
      <c r="AD11" s="46">
        <v>12.154531478881836</v>
      </c>
      <c r="AE11" s="46">
        <v>91.585385799407959</v>
      </c>
      <c r="AF11" s="46"/>
      <c r="AG11" s="46"/>
      <c r="AH11" s="46">
        <v>82.721996307373047</v>
      </c>
      <c r="AI11" s="46"/>
      <c r="AJ11" s="46"/>
      <c r="AK11" s="46"/>
      <c r="AL11" s="46"/>
      <c r="AM11" s="46"/>
      <c r="AN11" s="46"/>
      <c r="AO11" s="46"/>
      <c r="AP11" s="46"/>
      <c r="AQ11" s="46"/>
      <c r="AR11" s="46"/>
      <c r="AS11" s="46"/>
      <c r="AT11" s="46"/>
      <c r="AU11" s="46"/>
      <c r="AW11" s="40">
        <f t="shared" si="2"/>
        <v>1013.6639952659607</v>
      </c>
      <c r="AX11">
        <f t="shared" si="0"/>
        <v>15</v>
      </c>
      <c r="AY11">
        <v>3</v>
      </c>
    </row>
    <row r="12" spans="1:51" x14ac:dyDescent="0.3">
      <c r="A12" s="18">
        <v>4</v>
      </c>
      <c r="B12" s="61">
        <v>7521</v>
      </c>
      <c r="D12" s="30">
        <f t="shared" si="1"/>
        <v>5.2401655449186908E-2</v>
      </c>
      <c r="E12" s="45"/>
      <c r="G12" s="18">
        <v>4</v>
      </c>
      <c r="H12" s="65">
        <v>93.453657627105713</v>
      </c>
      <c r="I12" s="46">
        <v>12.027859687805176</v>
      </c>
      <c r="J12" s="46"/>
      <c r="K12" s="46">
        <v>0</v>
      </c>
      <c r="L12" s="46"/>
      <c r="M12" s="46"/>
      <c r="N12" s="46"/>
      <c r="O12" s="46">
        <v>96.338939666748047</v>
      </c>
      <c r="P12" s="46">
        <v>29.197299480438232</v>
      </c>
      <c r="Q12" s="46">
        <v>21.193099021911621</v>
      </c>
      <c r="R12" s="46"/>
      <c r="S12" s="46"/>
      <c r="T12" s="46"/>
      <c r="U12" s="46">
        <v>13.366246223449707</v>
      </c>
      <c r="V12" s="46"/>
      <c r="W12" s="46"/>
      <c r="X12" s="46"/>
      <c r="Y12" s="46">
        <v>61.662745475769043</v>
      </c>
      <c r="Z12" s="46">
        <v>22.213709354400635</v>
      </c>
      <c r="AA12" s="46"/>
      <c r="AB12" s="46"/>
      <c r="AC12" s="46"/>
      <c r="AD12" s="46">
        <v>47.401154041290283</v>
      </c>
      <c r="AE12" s="46"/>
      <c r="AF12" s="46">
        <v>28.915584087371826</v>
      </c>
      <c r="AG12" s="46"/>
      <c r="AH12" s="46"/>
      <c r="AI12" s="46"/>
      <c r="AJ12" s="46"/>
      <c r="AK12" s="46"/>
      <c r="AL12" s="46"/>
      <c r="AM12" s="46"/>
      <c r="AN12" s="46"/>
      <c r="AO12" s="46"/>
      <c r="AP12" s="46"/>
      <c r="AQ12" s="46"/>
      <c r="AR12" s="46"/>
      <c r="AS12" s="46"/>
      <c r="AT12" s="46"/>
      <c r="AU12" s="46"/>
      <c r="AW12" s="40">
        <f t="shared" si="2"/>
        <v>425.77029466629028</v>
      </c>
      <c r="AX12">
        <f t="shared" si="0"/>
        <v>10</v>
      </c>
      <c r="AY12">
        <v>4</v>
      </c>
    </row>
    <row r="13" spans="1:51" x14ac:dyDescent="0.3">
      <c r="A13" s="18">
        <v>5</v>
      </c>
      <c r="B13" s="61">
        <v>8779</v>
      </c>
      <c r="D13" s="30">
        <f t="shared" si="1"/>
        <v>6.116661789501554E-2</v>
      </c>
      <c r="E13" s="45"/>
      <c r="G13" s="18">
        <v>5</v>
      </c>
      <c r="H13" s="65">
        <v>96.349000930786133</v>
      </c>
      <c r="I13" s="46"/>
      <c r="J13" s="46">
        <v>99.436259269714355</v>
      </c>
      <c r="K13" s="46"/>
      <c r="L13" s="46">
        <v>0</v>
      </c>
      <c r="M13" s="46">
        <v>84.964168071746826</v>
      </c>
      <c r="N13" s="46">
        <v>47.957587242126465</v>
      </c>
      <c r="O13" s="46"/>
      <c r="P13" s="46">
        <v>22.441339492797852</v>
      </c>
      <c r="Q13" s="46"/>
      <c r="R13" s="46"/>
      <c r="S13" s="46">
        <v>84.90220308303833</v>
      </c>
      <c r="T13" s="46">
        <v>10.315322875976563</v>
      </c>
      <c r="U13" s="46"/>
      <c r="V13" s="46">
        <v>52.648425102233887</v>
      </c>
      <c r="W13" s="46"/>
      <c r="X13" s="46"/>
      <c r="Y13" s="46">
        <v>49.664533138275146</v>
      </c>
      <c r="Z13" s="46">
        <v>78.485512733459473</v>
      </c>
      <c r="AA13" s="46">
        <v>13.943779468536377</v>
      </c>
      <c r="AB13" s="46"/>
      <c r="AC13" s="46"/>
      <c r="AD13" s="46"/>
      <c r="AE13" s="46"/>
      <c r="AF13" s="46"/>
      <c r="AG13" s="46"/>
      <c r="AH13" s="46"/>
      <c r="AI13" s="46"/>
      <c r="AJ13" s="46"/>
      <c r="AK13" s="46"/>
      <c r="AL13" s="46"/>
      <c r="AM13" s="46"/>
      <c r="AN13" s="46"/>
      <c r="AO13" s="46"/>
      <c r="AP13" s="46"/>
      <c r="AQ13" s="46"/>
      <c r="AR13" s="46"/>
      <c r="AS13" s="46"/>
      <c r="AT13" s="46"/>
      <c r="AU13" s="46"/>
      <c r="AW13" s="40">
        <f t="shared" si="2"/>
        <v>641.10813140869141</v>
      </c>
      <c r="AX13">
        <f t="shared" si="0"/>
        <v>11</v>
      </c>
      <c r="AY13">
        <v>5</v>
      </c>
    </row>
    <row r="14" spans="1:51" x14ac:dyDescent="0.3">
      <c r="A14" s="18">
        <v>6</v>
      </c>
      <c r="B14" s="61">
        <v>7058</v>
      </c>
      <c r="D14" s="30">
        <f t="shared" si="1"/>
        <v>4.9175759095912937E-2</v>
      </c>
      <c r="E14" s="45"/>
      <c r="G14" s="18">
        <v>6</v>
      </c>
      <c r="H14" s="65"/>
      <c r="I14" s="46"/>
      <c r="J14" s="46"/>
      <c r="K14" s="46"/>
      <c r="L14" s="46">
        <v>84.964168071746826</v>
      </c>
      <c r="M14" s="46">
        <v>0</v>
      </c>
      <c r="N14" s="46"/>
      <c r="O14" s="46">
        <v>76.941609382629395</v>
      </c>
      <c r="P14" s="46"/>
      <c r="Q14" s="46"/>
      <c r="R14" s="46"/>
      <c r="S14" s="46"/>
      <c r="T14" s="46"/>
      <c r="U14" s="46">
        <v>86.329221725463867</v>
      </c>
      <c r="V14" s="46"/>
      <c r="W14" s="46"/>
      <c r="X14" s="46">
        <v>67.327225208282471</v>
      </c>
      <c r="Y14" s="46"/>
      <c r="Z14" s="46"/>
      <c r="AA14" s="46">
        <v>25.442862510681152</v>
      </c>
      <c r="AB14" s="46"/>
      <c r="AC14" s="46"/>
      <c r="AD14" s="46"/>
      <c r="AE14" s="46">
        <v>37.092328071594238</v>
      </c>
      <c r="AF14" s="46">
        <v>86.108791828155518</v>
      </c>
      <c r="AG14" s="46"/>
      <c r="AH14" s="46">
        <v>32.395255565643311</v>
      </c>
      <c r="AI14" s="46"/>
      <c r="AJ14" s="46"/>
      <c r="AK14" s="46"/>
      <c r="AL14" s="46"/>
      <c r="AM14" s="46"/>
      <c r="AN14" s="46"/>
      <c r="AO14" s="46"/>
      <c r="AP14" s="46"/>
      <c r="AQ14" s="46"/>
      <c r="AR14" s="46"/>
      <c r="AS14" s="46"/>
      <c r="AT14" s="46"/>
      <c r="AU14" s="46"/>
      <c r="AW14" s="40">
        <f t="shared" si="2"/>
        <v>496.60146236419678</v>
      </c>
      <c r="AX14">
        <f t="shared" si="0"/>
        <v>8</v>
      </c>
      <c r="AY14">
        <v>6</v>
      </c>
    </row>
    <row r="15" spans="1:51" x14ac:dyDescent="0.3">
      <c r="A15" s="18">
        <v>7</v>
      </c>
      <c r="B15" s="61">
        <v>1003</v>
      </c>
      <c r="D15" s="30">
        <f t="shared" si="1"/>
        <v>6.9882808689714759E-3</v>
      </c>
      <c r="E15" s="45"/>
      <c r="G15" s="18">
        <v>7</v>
      </c>
      <c r="H15" s="65">
        <v>91.434025764465332</v>
      </c>
      <c r="I15" s="46">
        <v>48.172461986541748</v>
      </c>
      <c r="J15" s="46"/>
      <c r="K15" s="46"/>
      <c r="L15" s="46">
        <v>47.957587242126465</v>
      </c>
      <c r="M15" s="46"/>
      <c r="N15" s="46">
        <v>0</v>
      </c>
      <c r="O15" s="46">
        <v>71.646964550018311</v>
      </c>
      <c r="P15" s="46"/>
      <c r="Q15" s="46">
        <v>5.026400089263916</v>
      </c>
      <c r="R15" s="46">
        <v>77.574300765991211</v>
      </c>
      <c r="S15" s="46">
        <v>0.41946172714233398</v>
      </c>
      <c r="T15" s="46">
        <v>39.10677433013916</v>
      </c>
      <c r="U15" s="46">
        <v>41.926491260528564</v>
      </c>
      <c r="V15" s="46"/>
      <c r="W15" s="46"/>
      <c r="X15" s="46">
        <v>86.753249168395996</v>
      </c>
      <c r="Y15" s="46"/>
      <c r="Z15" s="46">
        <v>97.317934036254883</v>
      </c>
      <c r="AA15" s="46">
        <v>5.5215239524841309</v>
      </c>
      <c r="AB15" s="46">
        <v>96.626591682434082</v>
      </c>
      <c r="AC15" s="46">
        <v>83.815968036651611</v>
      </c>
      <c r="AD15" s="46"/>
      <c r="AE15" s="46"/>
      <c r="AF15" s="46"/>
      <c r="AG15" s="46"/>
      <c r="AH15" s="46">
        <v>93.605756759643555</v>
      </c>
      <c r="AI15" s="46"/>
      <c r="AJ15" s="46"/>
      <c r="AK15" s="46"/>
      <c r="AL15" s="46"/>
      <c r="AM15" s="46"/>
      <c r="AN15" s="46"/>
      <c r="AO15" s="46"/>
      <c r="AP15" s="46"/>
      <c r="AQ15" s="46"/>
      <c r="AR15" s="46"/>
      <c r="AS15" s="46"/>
      <c r="AT15" s="46"/>
      <c r="AU15" s="46"/>
      <c r="AW15" s="40">
        <f t="shared" si="2"/>
        <v>886.9054913520813</v>
      </c>
      <c r="AX15">
        <f t="shared" si="0"/>
        <v>15</v>
      </c>
      <c r="AY15">
        <v>7</v>
      </c>
    </row>
    <row r="16" spans="1:51" x14ac:dyDescent="0.3">
      <c r="A16" s="18">
        <v>8</v>
      </c>
      <c r="B16" s="61">
        <v>5007</v>
      </c>
      <c r="D16" s="30">
        <f t="shared" si="1"/>
        <v>3.4885665314995193E-2</v>
      </c>
      <c r="E16" s="45"/>
      <c r="G16" s="18">
        <v>8</v>
      </c>
      <c r="H16" s="65">
        <v>46.384632587432861</v>
      </c>
      <c r="I16" s="46">
        <v>22.683978080749512</v>
      </c>
      <c r="J16" s="46"/>
      <c r="K16" s="46">
        <v>96.338939666748047</v>
      </c>
      <c r="L16" s="46"/>
      <c r="M16" s="46">
        <v>76.941609382629395</v>
      </c>
      <c r="N16" s="46">
        <v>71.646964550018311</v>
      </c>
      <c r="O16" s="46">
        <v>0</v>
      </c>
      <c r="P16" s="46"/>
      <c r="Q16" s="46"/>
      <c r="R16" s="46"/>
      <c r="S16" s="46">
        <v>82.288455963134766</v>
      </c>
      <c r="T16" s="46">
        <v>16.485011577606201</v>
      </c>
      <c r="U16" s="46">
        <v>89.00601863861084</v>
      </c>
      <c r="V16" s="46">
        <v>20.138800144195557</v>
      </c>
      <c r="W16" s="46">
        <v>74.390649795532227</v>
      </c>
      <c r="X16" s="46"/>
      <c r="Y16" s="46">
        <v>86.946988105773926</v>
      </c>
      <c r="Z16" s="46">
        <v>4.3014645576477051</v>
      </c>
      <c r="AA16" s="46"/>
      <c r="AB16" s="46"/>
      <c r="AC16" s="46"/>
      <c r="AD16" s="46"/>
      <c r="AE16" s="46">
        <v>5.7981014251708984</v>
      </c>
      <c r="AF16" s="46">
        <v>34.090650081634521</v>
      </c>
      <c r="AG16" s="46">
        <v>51.540780067443848</v>
      </c>
      <c r="AH16" s="46">
        <v>37.884056568145752</v>
      </c>
      <c r="AI16" s="46"/>
      <c r="AJ16" s="46"/>
      <c r="AK16" s="46"/>
      <c r="AL16" s="46"/>
      <c r="AM16" s="46"/>
      <c r="AN16" s="46"/>
      <c r="AO16" s="46"/>
      <c r="AP16" s="46"/>
      <c r="AQ16" s="46"/>
      <c r="AR16" s="46"/>
      <c r="AS16" s="46"/>
      <c r="AT16" s="46"/>
      <c r="AU16" s="46"/>
      <c r="AW16" s="40">
        <f t="shared" si="2"/>
        <v>816.86710119247437</v>
      </c>
      <c r="AX16">
        <f t="shared" si="0"/>
        <v>16</v>
      </c>
      <c r="AY16">
        <v>8</v>
      </c>
    </row>
    <row r="17" spans="1:51" x14ac:dyDescent="0.3">
      <c r="A17" s="18">
        <v>9</v>
      </c>
      <c r="B17" s="61">
        <v>7912</v>
      </c>
      <c r="D17" s="30">
        <f t="shared" si="1"/>
        <v>5.5125900533701214E-2</v>
      </c>
      <c r="E17" s="45"/>
      <c r="G17" s="18">
        <v>9</v>
      </c>
      <c r="H17" s="65">
        <v>55.896568298339844</v>
      </c>
      <c r="I17" s="46">
        <v>29.067766666412354</v>
      </c>
      <c r="J17" s="46"/>
      <c r="K17" s="46">
        <v>29.197299480438232</v>
      </c>
      <c r="L17" s="46">
        <v>22.441339492797852</v>
      </c>
      <c r="M17" s="46"/>
      <c r="N17" s="46"/>
      <c r="O17" s="46"/>
      <c r="P17" s="46">
        <v>0</v>
      </c>
      <c r="Q17" s="46"/>
      <c r="R17" s="46">
        <v>41.576170921325684</v>
      </c>
      <c r="S17" s="46">
        <v>24.21194314956665</v>
      </c>
      <c r="T17" s="46"/>
      <c r="U17" s="46">
        <v>83.058679103851318</v>
      </c>
      <c r="V17" s="46">
        <v>17.42851734161377</v>
      </c>
      <c r="W17" s="46">
        <v>81.940281391143799</v>
      </c>
      <c r="X17" s="46"/>
      <c r="Y17" s="46">
        <v>44.898498058319092</v>
      </c>
      <c r="Z17" s="46"/>
      <c r="AA17" s="46">
        <v>8.9633584022521973</v>
      </c>
      <c r="AB17" s="46"/>
      <c r="AC17" s="46"/>
      <c r="AD17" s="46">
        <v>64.602875709533691</v>
      </c>
      <c r="AE17" s="46"/>
      <c r="AF17" s="46"/>
      <c r="AG17" s="46"/>
      <c r="AH17" s="46"/>
      <c r="AI17" s="46"/>
      <c r="AJ17" s="46"/>
      <c r="AK17" s="46"/>
      <c r="AL17" s="46"/>
      <c r="AM17" s="46"/>
      <c r="AN17" s="46"/>
      <c r="AO17" s="46"/>
      <c r="AP17" s="46"/>
      <c r="AQ17" s="46"/>
      <c r="AR17" s="46"/>
      <c r="AS17" s="46"/>
      <c r="AT17" s="46"/>
      <c r="AU17" s="46"/>
      <c r="AW17" s="40">
        <f t="shared" si="2"/>
        <v>503.28329801559448</v>
      </c>
      <c r="AX17">
        <f t="shared" si="0"/>
        <v>12</v>
      </c>
      <c r="AY17">
        <v>9</v>
      </c>
    </row>
    <row r="18" spans="1:51" x14ac:dyDescent="0.3">
      <c r="A18" s="18">
        <v>10</v>
      </c>
      <c r="B18" s="61">
        <v>1133</v>
      </c>
      <c r="D18" s="30">
        <f t="shared" si="1"/>
        <v>7.8940401042319856E-3</v>
      </c>
      <c r="E18" s="45"/>
      <c r="G18" s="18">
        <v>10</v>
      </c>
      <c r="H18" s="65"/>
      <c r="I18" s="46">
        <v>14.301824569702148</v>
      </c>
      <c r="J18" s="46">
        <v>36.258041858673096</v>
      </c>
      <c r="K18" s="46">
        <v>21.193099021911621</v>
      </c>
      <c r="L18" s="46"/>
      <c r="M18" s="46"/>
      <c r="N18" s="46">
        <v>5.026400089263916</v>
      </c>
      <c r="O18" s="46"/>
      <c r="P18" s="46"/>
      <c r="Q18" s="46">
        <v>0</v>
      </c>
      <c r="R18" s="46"/>
      <c r="S18" s="46">
        <v>97.446179389953613</v>
      </c>
      <c r="T18" s="46"/>
      <c r="U18" s="46">
        <v>12.564849853515625</v>
      </c>
      <c r="V18" s="46"/>
      <c r="W18" s="46">
        <v>76.278567314147949</v>
      </c>
      <c r="X18" s="46"/>
      <c r="Y18" s="46">
        <v>92.463064193725586</v>
      </c>
      <c r="Z18" s="46"/>
      <c r="AA18" s="46"/>
      <c r="AB18" s="46">
        <v>34.030830860137939</v>
      </c>
      <c r="AC18" s="46">
        <v>49.407482147216797</v>
      </c>
      <c r="AD18" s="46"/>
      <c r="AE18" s="46"/>
      <c r="AF18" s="46"/>
      <c r="AG18" s="46"/>
      <c r="AH18" s="46">
        <v>91.558969020843506</v>
      </c>
      <c r="AI18" s="46"/>
      <c r="AJ18" s="46"/>
      <c r="AK18" s="46"/>
      <c r="AL18" s="46"/>
      <c r="AM18" s="46"/>
      <c r="AN18" s="46"/>
      <c r="AO18" s="46"/>
      <c r="AP18" s="46"/>
      <c r="AQ18" s="46"/>
      <c r="AR18" s="46"/>
      <c r="AS18" s="46"/>
      <c r="AT18" s="46"/>
      <c r="AU18" s="46"/>
      <c r="AW18" s="40">
        <f t="shared" si="2"/>
        <v>530.5293083190918</v>
      </c>
      <c r="AX18">
        <f t="shared" si="0"/>
        <v>11</v>
      </c>
      <c r="AY18">
        <v>10</v>
      </c>
    </row>
    <row r="19" spans="1:51" x14ac:dyDescent="0.3">
      <c r="A19" s="18">
        <v>11</v>
      </c>
      <c r="B19" s="61">
        <v>1596</v>
      </c>
      <c r="D19" s="30">
        <f t="shared" si="1"/>
        <v>1.1119936457505957E-2</v>
      </c>
      <c r="E19" s="45"/>
      <c r="G19" s="18">
        <v>11</v>
      </c>
      <c r="H19" s="65"/>
      <c r="I19" s="46"/>
      <c r="J19" s="46">
        <v>10.580921173095703</v>
      </c>
      <c r="K19" s="46"/>
      <c r="L19" s="46"/>
      <c r="M19" s="46"/>
      <c r="N19" s="46">
        <v>77.574300765991211</v>
      </c>
      <c r="O19" s="46"/>
      <c r="P19" s="46">
        <v>41.576170921325684</v>
      </c>
      <c r="Q19" s="46"/>
      <c r="R19" s="46">
        <v>0</v>
      </c>
      <c r="S19" s="46"/>
      <c r="T19" s="46"/>
      <c r="U19" s="46">
        <v>75.410425662994385</v>
      </c>
      <c r="V19" s="46">
        <v>85.68568229675293</v>
      </c>
      <c r="W19" s="46"/>
      <c r="X19" s="46">
        <v>12.772965431213379</v>
      </c>
      <c r="Y19" s="46"/>
      <c r="Z19" s="46">
        <v>7.1625709533691406</v>
      </c>
      <c r="AA19" s="46"/>
      <c r="AB19" s="46">
        <v>3.8825750350952148</v>
      </c>
      <c r="AC19" s="46">
        <v>5.2363038063049316</v>
      </c>
      <c r="AD19" s="46">
        <v>68.918085098266602</v>
      </c>
      <c r="AE19" s="46">
        <v>62.9813551902771</v>
      </c>
      <c r="AF19" s="46"/>
      <c r="AG19" s="46">
        <v>56.90385103225708</v>
      </c>
      <c r="AH19" s="46"/>
      <c r="AI19" s="46"/>
      <c r="AJ19" s="46"/>
      <c r="AK19" s="46"/>
      <c r="AL19" s="46"/>
      <c r="AM19" s="46"/>
      <c r="AN19" s="46"/>
      <c r="AO19" s="46"/>
      <c r="AP19" s="46"/>
      <c r="AQ19" s="46"/>
      <c r="AR19" s="46"/>
      <c r="AS19" s="46"/>
      <c r="AT19" s="46"/>
      <c r="AU19" s="46"/>
      <c r="AW19" s="40">
        <f t="shared" si="2"/>
        <v>508.68520736694336</v>
      </c>
      <c r="AX19">
        <f t="shared" si="0"/>
        <v>12</v>
      </c>
      <c r="AY19">
        <v>11</v>
      </c>
    </row>
    <row r="20" spans="1:51" x14ac:dyDescent="0.3">
      <c r="A20" s="18">
        <v>12</v>
      </c>
      <c r="B20" s="61">
        <v>3019</v>
      </c>
      <c r="D20" s="30">
        <f t="shared" si="1"/>
        <v>2.1034516394242159E-2</v>
      </c>
      <c r="E20" s="45"/>
      <c r="G20" s="18">
        <v>12</v>
      </c>
      <c r="H20" s="65"/>
      <c r="I20" s="46">
        <v>91.758370399475098</v>
      </c>
      <c r="J20" s="46">
        <v>86.443126201629639</v>
      </c>
      <c r="K20" s="46"/>
      <c r="L20" s="46">
        <v>84.90220308303833</v>
      </c>
      <c r="M20" s="46"/>
      <c r="N20" s="46">
        <v>0.41946172714233398</v>
      </c>
      <c r="O20" s="46">
        <v>82.288455963134766</v>
      </c>
      <c r="P20" s="46">
        <v>24.21194314956665</v>
      </c>
      <c r="Q20" s="46">
        <v>97.446179389953613</v>
      </c>
      <c r="R20" s="46"/>
      <c r="S20" s="46">
        <v>0</v>
      </c>
      <c r="T20" s="46">
        <v>20.854413509368896</v>
      </c>
      <c r="U20" s="46">
        <v>66.630959510803223</v>
      </c>
      <c r="V20" s="46">
        <v>2.540886402130127</v>
      </c>
      <c r="W20" s="46">
        <v>79.688167572021484</v>
      </c>
      <c r="X20" s="46">
        <v>68.15260648727417</v>
      </c>
      <c r="Y20" s="46"/>
      <c r="Z20" s="46">
        <v>96.516478061676025</v>
      </c>
      <c r="AA20" s="46">
        <v>43.280839920043945</v>
      </c>
      <c r="AB20" s="46"/>
      <c r="AC20" s="46"/>
      <c r="AD20" s="46">
        <v>31.124699115753174</v>
      </c>
      <c r="AE20" s="46"/>
      <c r="AF20" s="46">
        <v>58.401763439178467</v>
      </c>
      <c r="AG20" s="46"/>
      <c r="AH20" s="46"/>
      <c r="AI20" s="46"/>
      <c r="AJ20" s="46"/>
      <c r="AK20" s="46"/>
      <c r="AL20" s="46"/>
      <c r="AM20" s="46"/>
      <c r="AN20" s="46"/>
      <c r="AO20" s="46"/>
      <c r="AP20" s="46"/>
      <c r="AQ20" s="46"/>
      <c r="AR20" s="46"/>
      <c r="AS20" s="46"/>
      <c r="AT20" s="46"/>
      <c r="AU20" s="46"/>
      <c r="AW20" s="40">
        <f t="shared" si="2"/>
        <v>934.66055393218994</v>
      </c>
      <c r="AX20">
        <f t="shared" si="0"/>
        <v>16</v>
      </c>
      <c r="AY20">
        <v>12</v>
      </c>
    </row>
    <row r="21" spans="1:51" x14ac:dyDescent="0.3">
      <c r="A21" s="18">
        <v>13</v>
      </c>
      <c r="B21" s="61">
        <v>7751</v>
      </c>
      <c r="D21" s="30">
        <f t="shared" si="1"/>
        <v>5.4004152557724734E-2</v>
      </c>
      <c r="E21" s="45"/>
      <c r="G21" s="18">
        <v>13</v>
      </c>
      <c r="H21" s="65"/>
      <c r="I21" s="46"/>
      <c r="J21" s="46">
        <v>97.870993614196777</v>
      </c>
      <c r="K21" s="46"/>
      <c r="L21" s="46">
        <v>10.315322875976563</v>
      </c>
      <c r="M21" s="46"/>
      <c r="N21" s="46">
        <v>39.10677433013916</v>
      </c>
      <c r="O21" s="46">
        <v>16.485011577606201</v>
      </c>
      <c r="P21" s="46"/>
      <c r="Q21" s="46"/>
      <c r="R21" s="46"/>
      <c r="S21" s="46">
        <v>20.854413509368896</v>
      </c>
      <c r="T21" s="46">
        <v>0</v>
      </c>
      <c r="U21" s="46"/>
      <c r="V21" s="46">
        <v>32.191824913024902</v>
      </c>
      <c r="W21" s="46">
        <v>70.731222629547119</v>
      </c>
      <c r="X21" s="46">
        <v>19.132852554321289</v>
      </c>
      <c r="Y21" s="46">
        <v>58.145463466644287</v>
      </c>
      <c r="Z21" s="46">
        <v>84.124493598937988</v>
      </c>
      <c r="AA21" s="46"/>
      <c r="AB21" s="46">
        <v>39.44091796875</v>
      </c>
      <c r="AC21" s="46"/>
      <c r="AD21" s="46">
        <v>4.8758268356323242</v>
      </c>
      <c r="AE21" s="46">
        <v>53.053438663482666</v>
      </c>
      <c r="AF21" s="46"/>
      <c r="AG21" s="46">
        <v>26.302945613861084</v>
      </c>
      <c r="AH21" s="46">
        <v>10.99855899810791</v>
      </c>
      <c r="AI21" s="46"/>
      <c r="AJ21" s="46"/>
      <c r="AK21" s="46"/>
      <c r="AL21" s="46"/>
      <c r="AM21" s="46"/>
      <c r="AN21" s="46"/>
      <c r="AO21" s="46"/>
      <c r="AP21" s="46"/>
      <c r="AQ21" s="46"/>
      <c r="AR21" s="46"/>
      <c r="AS21" s="46"/>
      <c r="AT21" s="46"/>
      <c r="AU21" s="46"/>
      <c r="AW21" s="40">
        <f t="shared" si="2"/>
        <v>583.63006114959717</v>
      </c>
      <c r="AX21">
        <f t="shared" si="0"/>
        <v>15</v>
      </c>
      <c r="AY21">
        <v>13</v>
      </c>
    </row>
    <row r="22" spans="1:51" x14ac:dyDescent="0.3">
      <c r="A22" s="18">
        <v>14</v>
      </c>
      <c r="B22" s="61">
        <v>4239</v>
      </c>
      <c r="D22" s="30">
        <f t="shared" si="1"/>
        <v>2.953471844822541E-2</v>
      </c>
      <c r="E22" s="45"/>
      <c r="G22" s="18">
        <v>14</v>
      </c>
      <c r="H22" s="65"/>
      <c r="I22" s="46"/>
      <c r="J22" s="46">
        <v>83.315908908843994</v>
      </c>
      <c r="K22" s="46">
        <v>13.366246223449707</v>
      </c>
      <c r="L22" s="46"/>
      <c r="M22" s="46">
        <v>86.329221725463867</v>
      </c>
      <c r="N22" s="46">
        <v>41.926491260528564</v>
      </c>
      <c r="O22" s="46">
        <v>89.00601863861084</v>
      </c>
      <c r="P22" s="46">
        <v>83.058679103851318</v>
      </c>
      <c r="Q22" s="46">
        <v>12.564849853515625</v>
      </c>
      <c r="R22" s="46">
        <v>75.410425662994385</v>
      </c>
      <c r="S22" s="46">
        <v>66.630959510803223</v>
      </c>
      <c r="T22" s="46"/>
      <c r="U22" s="46">
        <v>0</v>
      </c>
      <c r="V22" s="46">
        <v>50.637185573577881</v>
      </c>
      <c r="W22" s="46"/>
      <c r="X22" s="46"/>
      <c r="Y22" s="46"/>
      <c r="Z22" s="46"/>
      <c r="AA22" s="46">
        <v>39.977717399597168</v>
      </c>
      <c r="AB22" s="46">
        <v>65.73253870010376</v>
      </c>
      <c r="AC22" s="46"/>
      <c r="AD22" s="46">
        <v>43.660390377044678</v>
      </c>
      <c r="AE22" s="46"/>
      <c r="AF22" s="46">
        <v>95.192444324493408</v>
      </c>
      <c r="AG22" s="46"/>
      <c r="AH22" s="46"/>
      <c r="AI22" s="46"/>
      <c r="AJ22" s="46"/>
      <c r="AK22" s="46"/>
      <c r="AL22" s="46"/>
      <c r="AM22" s="46"/>
      <c r="AN22" s="46"/>
      <c r="AO22" s="46"/>
      <c r="AP22" s="46"/>
      <c r="AQ22" s="46"/>
      <c r="AR22" s="46"/>
      <c r="AS22" s="46"/>
      <c r="AT22" s="46"/>
      <c r="AU22" s="46"/>
      <c r="AW22" s="40">
        <f t="shared" si="2"/>
        <v>846.80907726287842</v>
      </c>
      <c r="AX22">
        <f t="shared" si="0"/>
        <v>14</v>
      </c>
      <c r="AY22">
        <v>14</v>
      </c>
    </row>
    <row r="23" spans="1:51" x14ac:dyDescent="0.3">
      <c r="A23" s="18">
        <v>15</v>
      </c>
      <c r="B23" s="61">
        <v>4664</v>
      </c>
      <c r="D23" s="30">
        <f t="shared" si="1"/>
        <v>3.2495854409654003E-2</v>
      </c>
      <c r="E23" s="45"/>
      <c r="G23" s="18">
        <v>15</v>
      </c>
      <c r="H23" s="65"/>
      <c r="I23" s="46">
        <v>72.326648235321045</v>
      </c>
      <c r="J23" s="46">
        <v>86.386728286743164</v>
      </c>
      <c r="K23" s="46"/>
      <c r="L23" s="46">
        <v>52.648425102233887</v>
      </c>
      <c r="M23" s="46"/>
      <c r="N23" s="46"/>
      <c r="O23" s="46">
        <v>20.138800144195557</v>
      </c>
      <c r="P23" s="46">
        <v>17.42851734161377</v>
      </c>
      <c r="Q23" s="46"/>
      <c r="R23" s="46">
        <v>85.68568229675293</v>
      </c>
      <c r="S23" s="46">
        <v>2.540886402130127</v>
      </c>
      <c r="T23" s="46">
        <v>32.191824913024902</v>
      </c>
      <c r="U23" s="46">
        <v>50.637185573577881</v>
      </c>
      <c r="V23" s="46">
        <v>0</v>
      </c>
      <c r="W23" s="46">
        <v>65.265357494354248</v>
      </c>
      <c r="X23" s="46">
        <v>95.709490776062012</v>
      </c>
      <c r="Y23" s="46"/>
      <c r="Z23" s="46"/>
      <c r="AA23" s="46"/>
      <c r="AB23" s="46"/>
      <c r="AC23" s="46"/>
      <c r="AD23" s="46"/>
      <c r="AE23" s="46"/>
      <c r="AF23" s="46">
        <v>21.133971214294434</v>
      </c>
      <c r="AG23" s="46">
        <v>14.5241379737854</v>
      </c>
      <c r="AH23" s="46"/>
      <c r="AI23" s="46"/>
      <c r="AJ23" s="46"/>
      <c r="AK23" s="46"/>
      <c r="AL23" s="46"/>
      <c r="AM23" s="46"/>
      <c r="AN23" s="46"/>
      <c r="AO23" s="46"/>
      <c r="AP23" s="46"/>
      <c r="AQ23" s="46"/>
      <c r="AR23" s="46"/>
      <c r="AS23" s="46"/>
      <c r="AT23" s="46"/>
      <c r="AU23" s="46"/>
      <c r="AW23" s="40">
        <f t="shared" si="2"/>
        <v>616.61765575408936</v>
      </c>
      <c r="AX23">
        <f t="shared" si="0"/>
        <v>13</v>
      </c>
      <c r="AY23">
        <v>15</v>
      </c>
    </row>
    <row r="24" spans="1:51" x14ac:dyDescent="0.3">
      <c r="A24" s="18">
        <v>16</v>
      </c>
      <c r="B24" s="61">
        <v>3908</v>
      </c>
      <c r="D24" s="30">
        <f t="shared" si="1"/>
        <v>2.7228516087677495E-2</v>
      </c>
      <c r="E24" s="45"/>
      <c r="G24" s="18">
        <v>16</v>
      </c>
      <c r="H24" s="65"/>
      <c r="I24" s="46">
        <v>68.616271018981934</v>
      </c>
      <c r="J24" s="46">
        <v>42.910325527191162</v>
      </c>
      <c r="K24" s="46"/>
      <c r="L24" s="46"/>
      <c r="M24" s="46"/>
      <c r="N24" s="46"/>
      <c r="O24" s="46">
        <v>74.390649795532227</v>
      </c>
      <c r="P24" s="46">
        <v>81.940281391143799</v>
      </c>
      <c r="Q24" s="46">
        <v>76.278567314147949</v>
      </c>
      <c r="R24" s="46"/>
      <c r="S24" s="46">
        <v>79.688167572021484</v>
      </c>
      <c r="T24" s="46">
        <v>70.731222629547119</v>
      </c>
      <c r="U24" s="46"/>
      <c r="V24" s="46">
        <v>65.265357494354248</v>
      </c>
      <c r="W24" s="46">
        <v>0</v>
      </c>
      <c r="X24" s="46"/>
      <c r="Y24" s="46"/>
      <c r="Z24" s="46"/>
      <c r="AA24" s="46">
        <v>10.413074493408203</v>
      </c>
      <c r="AB24" s="46">
        <v>31.075084209442139</v>
      </c>
      <c r="AC24" s="46"/>
      <c r="AD24" s="46"/>
      <c r="AE24" s="46">
        <v>79.089975357055664</v>
      </c>
      <c r="AF24" s="46"/>
      <c r="AG24" s="46"/>
      <c r="AH24" s="46"/>
      <c r="AI24" s="46"/>
      <c r="AJ24" s="46"/>
      <c r="AK24" s="46"/>
      <c r="AL24" s="46"/>
      <c r="AM24" s="46"/>
      <c r="AN24" s="46"/>
      <c r="AO24" s="46"/>
      <c r="AP24" s="46"/>
      <c r="AQ24" s="46"/>
      <c r="AR24" s="46"/>
      <c r="AS24" s="46"/>
      <c r="AT24" s="46"/>
      <c r="AU24" s="46"/>
      <c r="AW24" s="40">
        <f t="shared" si="2"/>
        <v>680.39897680282593</v>
      </c>
      <c r="AX24">
        <f t="shared" si="0"/>
        <v>11</v>
      </c>
      <c r="AY24">
        <v>16</v>
      </c>
    </row>
    <row r="25" spans="1:51" x14ac:dyDescent="0.3">
      <c r="A25" s="18">
        <v>17</v>
      </c>
      <c r="B25" s="61">
        <v>4058</v>
      </c>
      <c r="D25" s="30">
        <f t="shared" si="1"/>
        <v>2.8273622897593467E-2</v>
      </c>
      <c r="E25" s="45"/>
      <c r="G25" s="18">
        <v>17</v>
      </c>
      <c r="H25" s="65"/>
      <c r="I25" s="46">
        <v>34.0035080909729</v>
      </c>
      <c r="J25" s="46"/>
      <c r="K25" s="46"/>
      <c r="L25" s="46"/>
      <c r="M25" s="46">
        <v>67.327225208282471</v>
      </c>
      <c r="N25" s="46">
        <v>86.753249168395996</v>
      </c>
      <c r="O25" s="46"/>
      <c r="P25" s="46"/>
      <c r="Q25" s="46"/>
      <c r="R25" s="46">
        <v>12.772965431213379</v>
      </c>
      <c r="S25" s="46">
        <v>68.15260648727417</v>
      </c>
      <c r="T25" s="46">
        <v>19.132852554321289</v>
      </c>
      <c r="U25" s="46"/>
      <c r="V25" s="46">
        <v>95.709490776062012</v>
      </c>
      <c r="W25" s="46"/>
      <c r="X25" s="46">
        <v>0</v>
      </c>
      <c r="Y25" s="46"/>
      <c r="Z25" s="46">
        <v>91.679549217224121</v>
      </c>
      <c r="AA25" s="46">
        <v>67.177259922027588</v>
      </c>
      <c r="AB25" s="46"/>
      <c r="AC25" s="46">
        <v>93.705880641937256</v>
      </c>
      <c r="AD25" s="46">
        <v>15.786290168762207</v>
      </c>
      <c r="AE25" s="46"/>
      <c r="AF25" s="46">
        <v>57.897758483886719</v>
      </c>
      <c r="AG25" s="46"/>
      <c r="AH25" s="46">
        <v>74.141383171081543</v>
      </c>
      <c r="AI25" s="46"/>
      <c r="AJ25" s="46"/>
      <c r="AK25" s="46"/>
      <c r="AL25" s="46"/>
      <c r="AM25" s="46"/>
      <c r="AN25" s="46"/>
      <c r="AO25" s="46"/>
      <c r="AP25" s="46"/>
      <c r="AQ25" s="46"/>
      <c r="AR25" s="46"/>
      <c r="AS25" s="46"/>
      <c r="AT25" s="46"/>
      <c r="AU25" s="46"/>
      <c r="AW25" s="40">
        <f t="shared" si="2"/>
        <v>784.24001932144165</v>
      </c>
      <c r="AX25">
        <f t="shared" si="0"/>
        <v>13</v>
      </c>
      <c r="AY25">
        <v>17</v>
      </c>
    </row>
    <row r="26" spans="1:51" x14ac:dyDescent="0.3">
      <c r="A26" s="18">
        <v>18</v>
      </c>
      <c r="B26" s="61">
        <v>2646</v>
      </c>
      <c r="D26" s="30">
        <f t="shared" si="1"/>
        <v>1.8435684126917772E-2</v>
      </c>
      <c r="E26" s="45"/>
      <c r="G26" s="18">
        <v>18</v>
      </c>
      <c r="H26" s="65">
        <v>2.4728655815124512</v>
      </c>
      <c r="I26" s="46">
        <v>70.59330940246582</v>
      </c>
      <c r="J26" s="46"/>
      <c r="K26" s="46">
        <v>61.662745475769043</v>
      </c>
      <c r="L26" s="46">
        <v>49.664533138275146</v>
      </c>
      <c r="M26" s="46"/>
      <c r="N26" s="46"/>
      <c r="O26" s="46">
        <v>86.946988105773926</v>
      </c>
      <c r="P26" s="46">
        <v>44.898498058319092</v>
      </c>
      <c r="Q26" s="46">
        <v>92.463064193725586</v>
      </c>
      <c r="R26" s="46"/>
      <c r="S26" s="46"/>
      <c r="T26" s="46">
        <v>58.145463466644287</v>
      </c>
      <c r="U26" s="46"/>
      <c r="V26" s="46"/>
      <c r="W26" s="46"/>
      <c r="X26" s="46"/>
      <c r="Y26" s="46">
        <v>0</v>
      </c>
      <c r="Z26" s="46">
        <v>87.19857931137085</v>
      </c>
      <c r="AA26" s="46"/>
      <c r="AB26" s="46">
        <v>62.59080171585083</v>
      </c>
      <c r="AC26" s="46">
        <v>79.483413696289063</v>
      </c>
      <c r="AD26" s="46"/>
      <c r="AE26" s="46">
        <v>24.111437797546387</v>
      </c>
      <c r="AF26" s="46">
        <v>26.765978336334229</v>
      </c>
      <c r="AG26" s="46">
        <v>94.550085067749023</v>
      </c>
      <c r="AH26" s="46"/>
      <c r="AI26" s="46"/>
      <c r="AJ26" s="46"/>
      <c r="AK26" s="46"/>
      <c r="AL26" s="46"/>
      <c r="AM26" s="46"/>
      <c r="AN26" s="46"/>
      <c r="AO26" s="46"/>
      <c r="AP26" s="46"/>
      <c r="AQ26" s="46"/>
      <c r="AR26" s="46"/>
      <c r="AS26" s="46"/>
      <c r="AT26" s="46"/>
      <c r="AU26" s="46"/>
      <c r="AW26" s="40">
        <f t="shared" si="2"/>
        <v>841.54776334762573</v>
      </c>
      <c r="AX26">
        <f t="shared" si="0"/>
        <v>14</v>
      </c>
      <c r="AY26">
        <v>18</v>
      </c>
    </row>
    <row r="27" spans="1:51" x14ac:dyDescent="0.3">
      <c r="A27" s="18">
        <v>19</v>
      </c>
      <c r="B27" s="61">
        <v>4709</v>
      </c>
      <c r="D27" s="30">
        <f t="shared" si="1"/>
        <v>3.2809386452628791E-2</v>
      </c>
      <c r="E27" s="45"/>
      <c r="G27" s="18">
        <v>19</v>
      </c>
      <c r="H27" s="65">
        <v>24.05393123626709</v>
      </c>
      <c r="I27" s="46">
        <v>14.114892482757568</v>
      </c>
      <c r="J27" s="46"/>
      <c r="K27" s="46">
        <v>22.213709354400635</v>
      </c>
      <c r="L27" s="46">
        <v>78.485512733459473</v>
      </c>
      <c r="M27" s="46"/>
      <c r="N27" s="46">
        <v>97.317934036254883</v>
      </c>
      <c r="O27" s="46">
        <v>4.3014645576477051</v>
      </c>
      <c r="P27" s="46"/>
      <c r="Q27" s="46"/>
      <c r="R27" s="46">
        <v>7.1625709533691406</v>
      </c>
      <c r="S27" s="46">
        <v>96.516478061676025</v>
      </c>
      <c r="T27" s="46">
        <v>84.124493598937988</v>
      </c>
      <c r="U27" s="46"/>
      <c r="V27" s="46"/>
      <c r="W27" s="46"/>
      <c r="X27" s="46">
        <v>91.679549217224121</v>
      </c>
      <c r="Y27" s="46">
        <v>87.19857931137085</v>
      </c>
      <c r="Z27" s="46">
        <v>0</v>
      </c>
      <c r="AA27" s="46"/>
      <c r="AB27" s="46"/>
      <c r="AC27" s="46">
        <v>17.521250247955322</v>
      </c>
      <c r="AD27" s="46">
        <v>44.852781295776367</v>
      </c>
      <c r="AE27" s="46">
        <v>45.68713903427124</v>
      </c>
      <c r="AF27" s="46">
        <v>19.065308570861816</v>
      </c>
      <c r="AG27" s="46"/>
      <c r="AH27" s="46">
        <v>99.545001983642578</v>
      </c>
      <c r="AI27" s="46"/>
      <c r="AJ27" s="46"/>
      <c r="AK27" s="46"/>
      <c r="AL27" s="46"/>
      <c r="AM27" s="46"/>
      <c r="AN27" s="46"/>
      <c r="AO27" s="46"/>
      <c r="AP27" s="46"/>
      <c r="AQ27" s="46"/>
      <c r="AR27" s="46"/>
      <c r="AS27" s="46"/>
      <c r="AT27" s="46"/>
      <c r="AU27" s="46"/>
      <c r="AW27" s="40">
        <f t="shared" si="2"/>
        <v>833.8405966758728</v>
      </c>
      <c r="AX27">
        <f t="shared" si="0"/>
        <v>16</v>
      </c>
      <c r="AY27">
        <v>19</v>
      </c>
    </row>
    <row r="28" spans="1:51" x14ac:dyDescent="0.3">
      <c r="A28" s="18">
        <v>20</v>
      </c>
      <c r="B28" s="61">
        <v>2227</v>
      </c>
      <c r="D28" s="30">
        <f t="shared" si="1"/>
        <v>1.5516352437885818E-2</v>
      </c>
      <c r="E28" s="45"/>
      <c r="G28" s="18">
        <v>20</v>
      </c>
      <c r="H28" s="65"/>
      <c r="I28" s="46"/>
      <c r="J28" s="46"/>
      <c r="K28" s="46"/>
      <c r="L28" s="46">
        <v>13.943779468536377</v>
      </c>
      <c r="M28" s="46">
        <v>25.442862510681152</v>
      </c>
      <c r="N28" s="46">
        <v>5.5215239524841309</v>
      </c>
      <c r="O28" s="46"/>
      <c r="P28" s="46">
        <v>8.9633584022521973</v>
      </c>
      <c r="Q28" s="46"/>
      <c r="R28" s="46"/>
      <c r="S28" s="46">
        <v>43.280839920043945</v>
      </c>
      <c r="T28" s="46"/>
      <c r="U28" s="46">
        <v>39.977717399597168</v>
      </c>
      <c r="V28" s="46"/>
      <c r="W28" s="46">
        <v>10.413074493408203</v>
      </c>
      <c r="X28" s="46">
        <v>67.177259922027588</v>
      </c>
      <c r="Y28" s="46"/>
      <c r="Z28" s="46"/>
      <c r="AA28" s="46">
        <v>0</v>
      </c>
      <c r="AB28" s="46"/>
      <c r="AC28" s="46"/>
      <c r="AD28" s="46"/>
      <c r="AE28" s="46"/>
      <c r="AF28" s="46"/>
      <c r="AG28" s="46"/>
      <c r="AH28" s="46"/>
      <c r="AI28" s="46"/>
      <c r="AJ28" s="46"/>
      <c r="AK28" s="46"/>
      <c r="AL28" s="46"/>
      <c r="AM28" s="46"/>
      <c r="AN28" s="46"/>
      <c r="AO28" s="46"/>
      <c r="AP28" s="46"/>
      <c r="AQ28" s="46"/>
      <c r="AR28" s="46"/>
      <c r="AS28" s="46"/>
      <c r="AT28" s="46"/>
      <c r="AU28" s="46"/>
      <c r="AW28" s="40">
        <f t="shared" si="2"/>
        <v>214.72041606903076</v>
      </c>
      <c r="AX28">
        <f t="shared" si="0"/>
        <v>8</v>
      </c>
      <c r="AY28">
        <v>20</v>
      </c>
    </row>
    <row r="29" spans="1:51" x14ac:dyDescent="0.3">
      <c r="A29" s="18">
        <v>21</v>
      </c>
      <c r="B29" s="61">
        <v>6986</v>
      </c>
      <c r="D29" s="30">
        <f t="shared" si="1"/>
        <v>4.8674107827153271E-2</v>
      </c>
      <c r="E29" s="45"/>
      <c r="G29" s="18">
        <v>21</v>
      </c>
      <c r="H29" s="65">
        <v>43.789148330688477</v>
      </c>
      <c r="I29" s="46"/>
      <c r="J29" s="46">
        <v>78.806948661804199</v>
      </c>
      <c r="K29" s="46"/>
      <c r="L29" s="46"/>
      <c r="M29" s="46"/>
      <c r="N29" s="46">
        <v>96.626591682434082</v>
      </c>
      <c r="O29" s="46"/>
      <c r="P29" s="46"/>
      <c r="Q29" s="46">
        <v>34.030830860137939</v>
      </c>
      <c r="R29" s="46">
        <v>3.8825750350952148</v>
      </c>
      <c r="S29" s="46"/>
      <c r="T29" s="46">
        <v>39.44091796875</v>
      </c>
      <c r="U29" s="46">
        <v>65.73253870010376</v>
      </c>
      <c r="V29" s="46"/>
      <c r="W29" s="46">
        <v>31.075084209442139</v>
      </c>
      <c r="X29" s="46"/>
      <c r="Y29" s="46">
        <v>62.59080171585083</v>
      </c>
      <c r="Z29" s="46"/>
      <c r="AA29" s="46"/>
      <c r="AB29" s="75">
        <v>0</v>
      </c>
      <c r="AC29" s="46">
        <v>33.773219585418701</v>
      </c>
      <c r="AD29" s="46"/>
      <c r="AE29" s="46"/>
      <c r="AF29" s="46"/>
      <c r="AG29" s="46"/>
      <c r="AH29" s="46"/>
      <c r="AI29" s="46"/>
      <c r="AJ29" s="46"/>
      <c r="AK29" s="46"/>
      <c r="AL29" s="46"/>
      <c r="AM29" s="46"/>
      <c r="AN29" s="46"/>
      <c r="AO29" s="46"/>
      <c r="AP29" s="46"/>
      <c r="AQ29" s="46"/>
      <c r="AR29" s="46"/>
      <c r="AS29" s="46"/>
      <c r="AT29" s="46"/>
      <c r="AU29" s="46"/>
      <c r="AW29" s="40">
        <f t="shared" si="2"/>
        <v>489.74865674972534</v>
      </c>
      <c r="AX29">
        <f t="shared" si="0"/>
        <v>10</v>
      </c>
      <c r="AY29">
        <v>21</v>
      </c>
    </row>
    <row r="30" spans="1:51" x14ac:dyDescent="0.3">
      <c r="A30" s="18">
        <v>22</v>
      </c>
      <c r="B30" s="61">
        <v>2459</v>
      </c>
      <c r="D30" s="30">
        <f t="shared" si="1"/>
        <v>1.713278430388919E-2</v>
      </c>
      <c r="E30" s="45"/>
      <c r="G30" s="18">
        <v>22</v>
      </c>
      <c r="H30" s="65">
        <v>13.175904750823975</v>
      </c>
      <c r="I30" s="46">
        <v>24.635505676269531</v>
      </c>
      <c r="J30" s="46">
        <v>53.186953067779541</v>
      </c>
      <c r="K30" s="46"/>
      <c r="L30" s="46"/>
      <c r="M30" s="46"/>
      <c r="N30" s="46">
        <v>83.815968036651611</v>
      </c>
      <c r="O30" s="46"/>
      <c r="P30" s="46"/>
      <c r="Q30" s="46">
        <v>49.407482147216797</v>
      </c>
      <c r="R30" s="46">
        <v>5.2363038063049316</v>
      </c>
      <c r="S30" s="46"/>
      <c r="T30" s="46"/>
      <c r="U30" s="46"/>
      <c r="V30" s="46"/>
      <c r="W30" s="46"/>
      <c r="X30" s="46">
        <v>93.705880641937256</v>
      </c>
      <c r="Y30" s="46">
        <v>79.483413696289063</v>
      </c>
      <c r="Z30" s="46">
        <v>17.521250247955322</v>
      </c>
      <c r="AA30" s="46"/>
      <c r="AB30" s="46">
        <v>33.773219585418701</v>
      </c>
      <c r="AC30" s="46">
        <v>0</v>
      </c>
      <c r="AD30" s="46"/>
      <c r="AE30" s="46"/>
      <c r="AF30" s="46"/>
      <c r="AG30" s="46">
        <v>76.211738586425781</v>
      </c>
      <c r="AH30" s="46"/>
      <c r="AI30" s="46"/>
      <c r="AJ30" s="46"/>
      <c r="AK30" s="46"/>
      <c r="AL30" s="46"/>
      <c r="AM30" s="46"/>
      <c r="AN30" s="46"/>
      <c r="AO30" s="46"/>
      <c r="AP30" s="46"/>
      <c r="AQ30" s="46"/>
      <c r="AR30" s="46"/>
      <c r="AS30" s="46"/>
      <c r="AT30" s="46"/>
      <c r="AU30" s="46"/>
      <c r="AW30" s="40">
        <f t="shared" si="2"/>
        <v>530.15362024307251</v>
      </c>
      <c r="AX30">
        <f t="shared" si="0"/>
        <v>11</v>
      </c>
      <c r="AY30">
        <v>22</v>
      </c>
    </row>
    <row r="31" spans="1:51" x14ac:dyDescent="0.3">
      <c r="A31" s="18">
        <v>23</v>
      </c>
      <c r="B31" s="61">
        <v>8725</v>
      </c>
      <c r="D31" s="30">
        <f t="shared" si="1"/>
        <v>6.0790379443445786E-2</v>
      </c>
      <c r="E31" s="45"/>
      <c r="G31" s="18">
        <v>23</v>
      </c>
      <c r="H31" s="65">
        <v>44.211697578430176</v>
      </c>
      <c r="I31" s="46">
        <v>75.905883312225342</v>
      </c>
      <c r="J31" s="46">
        <v>12.154531478881836</v>
      </c>
      <c r="K31" s="46">
        <v>47.401154041290283</v>
      </c>
      <c r="L31" s="46"/>
      <c r="M31" s="46"/>
      <c r="N31" s="46"/>
      <c r="O31" s="46"/>
      <c r="P31" s="46">
        <v>64.602875709533691</v>
      </c>
      <c r="Q31" s="46"/>
      <c r="R31" s="46">
        <v>68.918085098266602</v>
      </c>
      <c r="S31" s="46">
        <v>31.124699115753174</v>
      </c>
      <c r="T31" s="46">
        <v>4.8758268356323242</v>
      </c>
      <c r="U31" s="46">
        <v>43.660390377044678</v>
      </c>
      <c r="V31" s="46"/>
      <c r="W31" s="46"/>
      <c r="X31" s="46">
        <v>15.786290168762207</v>
      </c>
      <c r="Y31" s="46"/>
      <c r="Z31" s="46">
        <v>44.852781295776367</v>
      </c>
      <c r="AA31" s="46"/>
      <c r="AB31" s="46"/>
      <c r="AC31" s="46"/>
      <c r="AD31" s="46">
        <v>0</v>
      </c>
      <c r="AE31" s="46">
        <v>35.153281688690186</v>
      </c>
      <c r="AF31" s="46">
        <v>14.147830009460449</v>
      </c>
      <c r="AG31" s="46"/>
      <c r="AH31" s="46"/>
      <c r="AI31" s="46"/>
      <c r="AJ31" s="46"/>
      <c r="AK31" s="46"/>
      <c r="AL31" s="46"/>
      <c r="AM31" s="46"/>
      <c r="AN31" s="46"/>
      <c r="AO31" s="46"/>
      <c r="AP31" s="46"/>
      <c r="AQ31" s="46"/>
      <c r="AR31" s="46"/>
      <c r="AS31" s="46"/>
      <c r="AT31" s="46"/>
      <c r="AU31" s="46"/>
      <c r="AW31" s="40">
        <f t="shared" si="2"/>
        <v>502.79532670974731</v>
      </c>
      <c r="AX31">
        <f t="shared" si="0"/>
        <v>13</v>
      </c>
      <c r="AY31">
        <v>23</v>
      </c>
    </row>
    <row r="32" spans="1:51" x14ac:dyDescent="0.3">
      <c r="A32" s="18">
        <v>24</v>
      </c>
      <c r="B32" s="61">
        <v>9061</v>
      </c>
      <c r="D32" s="30">
        <f t="shared" si="1"/>
        <v>6.3131418697657565E-2</v>
      </c>
      <c r="E32" s="45"/>
      <c r="G32" s="18">
        <v>24</v>
      </c>
      <c r="H32" s="65">
        <v>13.458263874053955</v>
      </c>
      <c r="I32" s="46"/>
      <c r="J32" s="46">
        <v>91.585385799407959</v>
      </c>
      <c r="K32" s="46"/>
      <c r="L32" s="46"/>
      <c r="M32" s="46">
        <v>37.092328071594238</v>
      </c>
      <c r="N32" s="46"/>
      <c r="O32" s="46">
        <v>5.7981014251708984</v>
      </c>
      <c r="P32" s="46"/>
      <c r="Q32" s="46"/>
      <c r="R32" s="46">
        <v>62.9813551902771</v>
      </c>
      <c r="S32" s="46"/>
      <c r="T32" s="46">
        <v>53.053438663482666</v>
      </c>
      <c r="U32" s="46"/>
      <c r="V32" s="46"/>
      <c r="W32" s="46">
        <v>79.089975357055664</v>
      </c>
      <c r="X32" s="46"/>
      <c r="Y32" s="46">
        <v>24.111437797546387</v>
      </c>
      <c r="Z32" s="46">
        <v>45.68713903427124</v>
      </c>
      <c r="AA32" s="46"/>
      <c r="AB32" s="46"/>
      <c r="AC32" s="46"/>
      <c r="AD32" s="46">
        <v>35.153281688690186</v>
      </c>
      <c r="AE32" s="46">
        <v>0</v>
      </c>
      <c r="AF32" s="46"/>
      <c r="AG32" s="46">
        <v>47.810196876525879</v>
      </c>
      <c r="AH32" s="46">
        <v>60.561859607696533</v>
      </c>
      <c r="AI32" s="46"/>
      <c r="AJ32" s="46"/>
      <c r="AK32" s="46"/>
      <c r="AL32" s="46"/>
      <c r="AM32" s="46"/>
      <c r="AN32" s="46"/>
      <c r="AO32" s="46"/>
      <c r="AP32" s="46"/>
      <c r="AQ32" s="46"/>
      <c r="AR32" s="46"/>
      <c r="AS32" s="46"/>
      <c r="AT32" s="46"/>
      <c r="AU32" s="46"/>
      <c r="AW32" s="40">
        <f t="shared" si="2"/>
        <v>556.38276338577271</v>
      </c>
      <c r="AX32">
        <f t="shared" si="0"/>
        <v>12</v>
      </c>
      <c r="AY32">
        <v>24</v>
      </c>
    </row>
    <row r="33" spans="1:51" x14ac:dyDescent="0.3">
      <c r="A33" s="18">
        <v>25</v>
      </c>
      <c r="B33" s="61">
        <v>4090</v>
      </c>
      <c r="D33" s="30">
        <f t="shared" si="1"/>
        <v>2.8496579017042209E-2</v>
      </c>
      <c r="E33" s="45"/>
      <c r="G33" s="18">
        <v>25</v>
      </c>
      <c r="H33" s="65">
        <v>57.908248901367188</v>
      </c>
      <c r="I33" s="46"/>
      <c r="J33" s="46"/>
      <c r="K33" s="46">
        <v>28.915584087371826</v>
      </c>
      <c r="L33" s="46"/>
      <c r="M33" s="46">
        <v>86.108791828155518</v>
      </c>
      <c r="N33" s="46"/>
      <c r="O33" s="46">
        <v>34.090650081634521</v>
      </c>
      <c r="P33" s="46"/>
      <c r="Q33" s="46"/>
      <c r="R33" s="46"/>
      <c r="S33" s="46">
        <v>58.401763439178467</v>
      </c>
      <c r="T33" s="46"/>
      <c r="U33" s="46">
        <v>95.192444324493408</v>
      </c>
      <c r="V33" s="46">
        <v>21.133971214294434</v>
      </c>
      <c r="W33" s="46"/>
      <c r="X33" s="46">
        <v>57.897758483886719</v>
      </c>
      <c r="Y33" s="46">
        <v>26.765978336334229</v>
      </c>
      <c r="Z33" s="46">
        <v>19.065308570861816</v>
      </c>
      <c r="AA33" s="46"/>
      <c r="AB33" s="46"/>
      <c r="AC33" s="46"/>
      <c r="AD33" s="46">
        <v>14.147830009460449</v>
      </c>
      <c r="AE33" s="46"/>
      <c r="AF33" s="46">
        <v>0</v>
      </c>
      <c r="AG33" s="46">
        <v>14.73768949508667</v>
      </c>
      <c r="AH33" s="46"/>
      <c r="AI33" s="46"/>
      <c r="AJ33" s="46"/>
      <c r="AK33" s="46"/>
      <c r="AL33" s="46"/>
      <c r="AM33" s="46"/>
      <c r="AN33" s="46"/>
      <c r="AO33" s="46"/>
      <c r="AP33" s="46"/>
      <c r="AQ33" s="46"/>
      <c r="AR33" s="46"/>
      <c r="AS33" s="46"/>
      <c r="AT33" s="46"/>
      <c r="AU33" s="46"/>
      <c r="AW33" s="40">
        <f t="shared" si="2"/>
        <v>514.36601877212524</v>
      </c>
      <c r="AX33">
        <f t="shared" si="0"/>
        <v>12</v>
      </c>
      <c r="AY33">
        <v>25</v>
      </c>
    </row>
    <row r="34" spans="1:51" x14ac:dyDescent="0.3">
      <c r="A34" s="18">
        <v>26</v>
      </c>
      <c r="B34" s="61">
        <v>5577</v>
      </c>
      <c r="D34" s="30">
        <f t="shared" si="1"/>
        <v>3.8857071192675889E-2</v>
      </c>
      <c r="E34" s="45"/>
      <c r="G34" s="18">
        <v>26</v>
      </c>
      <c r="H34" s="65"/>
      <c r="I34" s="46">
        <v>89.366483688354492</v>
      </c>
      <c r="J34" s="46"/>
      <c r="K34" s="46"/>
      <c r="L34" s="46"/>
      <c r="M34" s="46"/>
      <c r="N34" s="46"/>
      <c r="O34" s="46">
        <v>51.540780067443848</v>
      </c>
      <c r="P34" s="46"/>
      <c r="Q34" s="46"/>
      <c r="R34" s="46">
        <v>56.90385103225708</v>
      </c>
      <c r="S34" s="46"/>
      <c r="T34" s="46">
        <v>26.302945613861084</v>
      </c>
      <c r="U34" s="46"/>
      <c r="V34" s="46">
        <v>14.5241379737854</v>
      </c>
      <c r="W34" s="46"/>
      <c r="X34" s="46"/>
      <c r="Y34" s="46">
        <v>94.550085067749023</v>
      </c>
      <c r="Z34" s="46"/>
      <c r="AA34" s="46"/>
      <c r="AB34" s="46"/>
      <c r="AC34" s="46">
        <v>76.211738586425781</v>
      </c>
      <c r="AD34" s="46"/>
      <c r="AE34" s="46">
        <v>47.810196876525879</v>
      </c>
      <c r="AF34" s="46">
        <v>14.73768949508667</v>
      </c>
      <c r="AG34" s="46">
        <v>0</v>
      </c>
      <c r="AH34" s="46"/>
      <c r="AI34" s="46"/>
      <c r="AJ34" s="46"/>
      <c r="AK34" s="46"/>
      <c r="AL34" s="46"/>
      <c r="AM34" s="46"/>
      <c r="AN34" s="46"/>
      <c r="AO34" s="46"/>
      <c r="AP34" s="46"/>
      <c r="AQ34" s="46"/>
      <c r="AR34" s="46"/>
      <c r="AS34" s="46"/>
      <c r="AT34" s="46"/>
      <c r="AU34" s="46"/>
      <c r="AW34" s="40">
        <f t="shared" si="2"/>
        <v>471.94790840148926</v>
      </c>
      <c r="AX34">
        <f t="shared" si="0"/>
        <v>9</v>
      </c>
      <c r="AY34">
        <v>26</v>
      </c>
    </row>
    <row r="35" spans="1:51" x14ac:dyDescent="0.3">
      <c r="A35" s="18">
        <v>27</v>
      </c>
      <c r="B35" s="61">
        <v>9333</v>
      </c>
      <c r="D35" s="30">
        <f t="shared" si="1"/>
        <v>6.5026545712971867E-2</v>
      </c>
      <c r="E35" s="45"/>
      <c r="G35" s="18">
        <v>27</v>
      </c>
      <c r="H35" s="65"/>
      <c r="I35" s="46"/>
      <c r="J35" s="46">
        <v>82.721996307373047</v>
      </c>
      <c r="K35" s="46"/>
      <c r="L35" s="46"/>
      <c r="M35" s="46">
        <v>32.395255565643311</v>
      </c>
      <c r="N35" s="46">
        <v>93.605756759643555</v>
      </c>
      <c r="O35" s="46">
        <v>37.884056568145752</v>
      </c>
      <c r="P35" s="46"/>
      <c r="Q35" s="46">
        <v>91.558969020843506</v>
      </c>
      <c r="R35" s="46"/>
      <c r="S35" s="46"/>
      <c r="T35" s="46">
        <v>10.99855899810791</v>
      </c>
      <c r="U35" s="46"/>
      <c r="V35" s="46"/>
      <c r="W35" s="46"/>
      <c r="X35" s="46">
        <v>74.141383171081543</v>
      </c>
      <c r="Y35" s="46"/>
      <c r="Z35" s="46">
        <v>99.545001983642578</v>
      </c>
      <c r="AA35" s="46"/>
      <c r="AB35" s="46"/>
      <c r="AC35" s="46"/>
      <c r="AD35" s="46"/>
      <c r="AE35" s="46">
        <v>60.561859607696533</v>
      </c>
      <c r="AF35" s="46"/>
      <c r="AG35" s="46"/>
      <c r="AH35" s="46">
        <v>0</v>
      </c>
      <c r="AI35" s="46"/>
      <c r="AJ35" s="46"/>
      <c r="AK35" s="46"/>
      <c r="AL35" s="46"/>
      <c r="AM35" s="46"/>
      <c r="AN35" s="46"/>
      <c r="AO35" s="46"/>
      <c r="AP35" s="46"/>
      <c r="AQ35" s="46"/>
      <c r="AR35" s="46"/>
      <c r="AS35" s="46"/>
      <c r="AT35" s="46"/>
      <c r="AU35" s="46"/>
      <c r="AW35" s="40">
        <f t="shared" si="2"/>
        <v>583.41283798217773</v>
      </c>
      <c r="AX35">
        <f t="shared" si="0"/>
        <v>9</v>
      </c>
      <c r="AY35">
        <v>27</v>
      </c>
    </row>
    <row r="36" spans="1:51" x14ac:dyDescent="0.3">
      <c r="A36" s="18">
        <v>28</v>
      </c>
      <c r="B36" s="61"/>
      <c r="D36" s="30">
        <f t="shared" si="1"/>
        <v>0</v>
      </c>
      <c r="E36" s="45"/>
      <c r="G36" s="18">
        <v>28</v>
      </c>
      <c r="H36" s="65"/>
      <c r="I36" s="46"/>
      <c r="J36" s="46"/>
      <c r="K36" s="46"/>
      <c r="L36" s="46"/>
      <c r="M36" s="46"/>
      <c r="N36" s="46"/>
      <c r="O36" s="46"/>
      <c r="P36" s="46"/>
      <c r="Q36" s="46"/>
      <c r="R36" s="46"/>
      <c r="S36" s="46"/>
      <c r="T36" s="46"/>
      <c r="U36" s="46"/>
      <c r="V36" s="46"/>
      <c r="W36" s="46"/>
      <c r="X36" s="46"/>
      <c r="Y36" s="46"/>
      <c r="Z36" s="46"/>
      <c r="AA36" s="46"/>
      <c r="AB36" s="46"/>
      <c r="AC36" s="46"/>
      <c r="AD36" s="46"/>
      <c r="AE36" s="46"/>
      <c r="AF36" s="46"/>
      <c r="AG36" s="46"/>
      <c r="AH36" s="46"/>
      <c r="AI36" s="46"/>
      <c r="AJ36" s="46"/>
      <c r="AK36" s="46"/>
      <c r="AL36" s="46"/>
      <c r="AM36" s="46"/>
      <c r="AN36" s="46"/>
      <c r="AO36" s="46"/>
      <c r="AP36" s="46"/>
      <c r="AQ36" s="46"/>
      <c r="AR36" s="46"/>
      <c r="AS36" s="46"/>
      <c r="AT36" s="46"/>
      <c r="AU36" s="46"/>
      <c r="AW36" s="40">
        <f t="shared" si="2"/>
        <v>0</v>
      </c>
      <c r="AX36">
        <f t="shared" si="0"/>
        <v>0</v>
      </c>
      <c r="AY36">
        <v>28</v>
      </c>
    </row>
    <row r="37" spans="1:51" x14ac:dyDescent="0.3">
      <c r="A37" s="18">
        <v>29</v>
      </c>
      <c r="B37" s="61"/>
      <c r="D37" s="30">
        <f t="shared" si="1"/>
        <v>0</v>
      </c>
      <c r="E37" s="45"/>
      <c r="G37" s="18">
        <v>29</v>
      </c>
      <c r="H37" s="65"/>
      <c r="I37" s="46"/>
      <c r="J37" s="46"/>
      <c r="K37" s="46"/>
      <c r="L37" s="46"/>
      <c r="M37" s="46"/>
      <c r="N37" s="46"/>
      <c r="O37" s="46"/>
      <c r="P37" s="46"/>
      <c r="Q37" s="46"/>
      <c r="R37" s="46"/>
      <c r="S37" s="46"/>
      <c r="T37" s="46"/>
      <c r="U37" s="46"/>
      <c r="V37" s="46"/>
      <c r="W37" s="46"/>
      <c r="X37" s="46"/>
      <c r="Y37" s="46"/>
      <c r="Z37" s="46"/>
      <c r="AA37" s="46"/>
      <c r="AB37" s="46"/>
      <c r="AC37" s="46"/>
      <c r="AD37" s="46"/>
      <c r="AE37" s="46"/>
      <c r="AF37" s="46"/>
      <c r="AG37" s="46"/>
      <c r="AH37" s="46"/>
      <c r="AI37" s="46"/>
      <c r="AJ37" s="46"/>
      <c r="AK37" s="46"/>
      <c r="AL37" s="46"/>
      <c r="AM37" s="46"/>
      <c r="AN37" s="46"/>
      <c r="AO37" s="46"/>
      <c r="AP37" s="46"/>
      <c r="AQ37" s="46"/>
      <c r="AR37" s="46"/>
      <c r="AS37" s="46"/>
      <c r="AT37" s="46"/>
      <c r="AU37" s="46"/>
      <c r="AW37" s="40">
        <f t="shared" si="2"/>
        <v>0</v>
      </c>
      <c r="AX37">
        <f t="shared" si="0"/>
        <v>0</v>
      </c>
      <c r="AY37">
        <v>29</v>
      </c>
    </row>
    <row r="38" spans="1:51" x14ac:dyDescent="0.3">
      <c r="A38" s="18">
        <v>30</v>
      </c>
      <c r="B38" s="61"/>
      <c r="D38" s="30">
        <f t="shared" si="1"/>
        <v>0</v>
      </c>
      <c r="E38" s="45"/>
      <c r="G38" s="18">
        <v>30</v>
      </c>
      <c r="H38" s="65"/>
      <c r="I38" s="46"/>
      <c r="J38" s="46"/>
      <c r="K38" s="46"/>
      <c r="L38" s="46"/>
      <c r="M38" s="46"/>
      <c r="N38" s="46"/>
      <c r="O38" s="46"/>
      <c r="P38" s="46"/>
      <c r="Q38" s="46"/>
      <c r="R38" s="46"/>
      <c r="S38" s="46"/>
      <c r="T38" s="46"/>
      <c r="U38" s="46"/>
      <c r="V38" s="46"/>
      <c r="W38" s="46"/>
      <c r="X38" s="46"/>
      <c r="Y38" s="46"/>
      <c r="Z38" s="46"/>
      <c r="AA38" s="46"/>
      <c r="AB38" s="46"/>
      <c r="AC38" s="46"/>
      <c r="AD38" s="46"/>
      <c r="AE38" s="46"/>
      <c r="AF38" s="46"/>
      <c r="AG38" s="46"/>
      <c r="AH38" s="46"/>
      <c r="AI38" s="46"/>
      <c r="AJ38" s="46"/>
      <c r="AK38" s="46"/>
      <c r="AL38" s="46"/>
      <c r="AM38" s="46"/>
      <c r="AN38" s="46"/>
      <c r="AO38" s="46"/>
      <c r="AP38" s="46"/>
      <c r="AQ38" s="46"/>
      <c r="AR38" s="46"/>
      <c r="AS38" s="46"/>
      <c r="AT38" s="46"/>
      <c r="AU38" s="46"/>
      <c r="AW38" s="40">
        <f t="shared" si="2"/>
        <v>0</v>
      </c>
      <c r="AX38">
        <f t="shared" si="0"/>
        <v>0</v>
      </c>
      <c r="AY38">
        <v>30</v>
      </c>
    </row>
    <row r="39" spans="1:51" x14ac:dyDescent="0.3">
      <c r="A39" s="18">
        <v>31</v>
      </c>
      <c r="B39" s="61"/>
      <c r="D39" s="30">
        <f t="shared" si="1"/>
        <v>0</v>
      </c>
      <c r="E39" s="45"/>
      <c r="G39" s="18">
        <v>31</v>
      </c>
      <c r="H39" s="65"/>
      <c r="I39" s="46"/>
      <c r="J39" s="46"/>
      <c r="K39" s="46"/>
      <c r="L39" s="46"/>
      <c r="M39" s="46"/>
      <c r="N39" s="46"/>
      <c r="O39" s="46"/>
      <c r="P39" s="46"/>
      <c r="Q39" s="46"/>
      <c r="R39" s="46"/>
      <c r="S39" s="46"/>
      <c r="T39" s="46"/>
      <c r="U39" s="46"/>
      <c r="V39" s="46"/>
      <c r="W39" s="46"/>
      <c r="X39" s="46"/>
      <c r="Y39" s="46"/>
      <c r="Z39" s="46"/>
      <c r="AA39" s="46"/>
      <c r="AB39" s="46"/>
      <c r="AC39" s="46"/>
      <c r="AD39" s="46"/>
      <c r="AE39" s="46"/>
      <c r="AF39" s="46"/>
      <c r="AG39" s="46"/>
      <c r="AH39" s="46"/>
      <c r="AI39" s="46"/>
      <c r="AJ39" s="46"/>
      <c r="AK39" s="46"/>
      <c r="AL39" s="46"/>
      <c r="AM39" s="46"/>
      <c r="AN39" s="46"/>
      <c r="AO39" s="46"/>
      <c r="AP39" s="46"/>
      <c r="AQ39" s="46"/>
      <c r="AR39" s="46"/>
      <c r="AS39" s="46"/>
      <c r="AT39" s="46"/>
      <c r="AU39" s="46"/>
      <c r="AW39" s="40">
        <f t="shared" si="2"/>
        <v>0</v>
      </c>
      <c r="AX39">
        <f t="shared" si="0"/>
        <v>0</v>
      </c>
      <c r="AY39">
        <v>31</v>
      </c>
    </row>
    <row r="40" spans="1:51" x14ac:dyDescent="0.3">
      <c r="A40" s="18">
        <v>32</v>
      </c>
      <c r="B40" s="61"/>
      <c r="D40" s="30">
        <f t="shared" si="1"/>
        <v>0</v>
      </c>
      <c r="E40" s="45"/>
      <c r="G40" s="18">
        <v>32</v>
      </c>
      <c r="H40" s="65"/>
      <c r="I40" s="46"/>
      <c r="J40" s="46"/>
      <c r="K40" s="46"/>
      <c r="L40" s="46"/>
      <c r="M40" s="46"/>
      <c r="N40" s="46"/>
      <c r="O40" s="46"/>
      <c r="P40" s="46"/>
      <c r="Q40" s="46"/>
      <c r="R40" s="46"/>
      <c r="S40" s="46"/>
      <c r="T40" s="46"/>
      <c r="U40" s="46"/>
      <c r="V40" s="46"/>
      <c r="W40" s="46"/>
      <c r="X40" s="46"/>
      <c r="Y40" s="46"/>
      <c r="Z40" s="46"/>
      <c r="AA40" s="46"/>
      <c r="AB40" s="46"/>
      <c r="AC40" s="46"/>
      <c r="AD40" s="46"/>
      <c r="AE40" s="46"/>
      <c r="AF40" s="46"/>
      <c r="AG40" s="46"/>
      <c r="AH40" s="46"/>
      <c r="AI40" s="46"/>
      <c r="AJ40" s="46"/>
      <c r="AK40" s="46"/>
      <c r="AL40" s="46"/>
      <c r="AM40" s="46"/>
      <c r="AN40" s="46"/>
      <c r="AO40" s="46"/>
      <c r="AP40" s="46"/>
      <c r="AQ40" s="46"/>
      <c r="AR40" s="46"/>
      <c r="AS40" s="46"/>
      <c r="AT40" s="46"/>
      <c r="AU40" s="46"/>
      <c r="AW40" s="40">
        <f t="shared" si="2"/>
        <v>0</v>
      </c>
      <c r="AX40">
        <f t="shared" si="0"/>
        <v>0</v>
      </c>
      <c r="AY40">
        <v>32</v>
      </c>
    </row>
    <row r="41" spans="1:51" x14ac:dyDescent="0.3">
      <c r="A41" s="18">
        <v>33</v>
      </c>
      <c r="B41" s="61"/>
      <c r="D41" s="30">
        <f t="shared" si="1"/>
        <v>0</v>
      </c>
      <c r="E41" s="45"/>
      <c r="G41" s="18">
        <v>33</v>
      </c>
      <c r="H41" s="65"/>
      <c r="I41" s="46"/>
      <c r="J41" s="46"/>
      <c r="K41" s="46"/>
      <c r="L41" s="46"/>
      <c r="M41" s="46"/>
      <c r="N41" s="46"/>
      <c r="O41" s="46"/>
      <c r="P41" s="46"/>
      <c r="Q41" s="46"/>
      <c r="R41" s="46"/>
      <c r="S41" s="46"/>
      <c r="T41" s="46"/>
      <c r="U41" s="46"/>
      <c r="V41" s="46"/>
      <c r="W41" s="46"/>
      <c r="X41" s="46"/>
      <c r="Y41" s="46"/>
      <c r="Z41" s="46"/>
      <c r="AA41" s="46"/>
      <c r="AB41" s="46"/>
      <c r="AC41" s="46"/>
      <c r="AD41" s="46"/>
      <c r="AE41" s="46"/>
      <c r="AF41" s="46"/>
      <c r="AG41" s="46"/>
      <c r="AH41" s="46"/>
      <c r="AI41" s="46"/>
      <c r="AJ41" s="46"/>
      <c r="AK41" s="46"/>
      <c r="AL41" s="46"/>
      <c r="AM41" s="46"/>
      <c r="AN41" s="46"/>
      <c r="AO41" s="46"/>
      <c r="AP41" s="46"/>
      <c r="AQ41" s="46"/>
      <c r="AR41" s="46"/>
      <c r="AS41" s="46"/>
      <c r="AT41" s="46"/>
      <c r="AU41" s="46"/>
      <c r="AW41" s="40">
        <f t="shared" si="2"/>
        <v>0</v>
      </c>
      <c r="AX41">
        <f t="shared" si="0"/>
        <v>0</v>
      </c>
      <c r="AY41">
        <v>33</v>
      </c>
    </row>
    <row r="42" spans="1:51" x14ac:dyDescent="0.3">
      <c r="A42" s="18">
        <v>34</v>
      </c>
      <c r="B42" s="61"/>
      <c r="D42" s="30">
        <f t="shared" si="1"/>
        <v>0</v>
      </c>
      <c r="E42" s="45"/>
      <c r="G42" s="18">
        <v>34</v>
      </c>
      <c r="H42" s="65"/>
      <c r="I42" s="46"/>
      <c r="J42" s="46"/>
      <c r="K42" s="46"/>
      <c r="L42" s="46"/>
      <c r="M42" s="46"/>
      <c r="N42" s="46"/>
      <c r="O42" s="46"/>
      <c r="P42" s="46"/>
      <c r="Q42" s="46"/>
      <c r="R42" s="46"/>
      <c r="S42" s="46"/>
      <c r="T42" s="46"/>
      <c r="U42" s="46"/>
      <c r="V42" s="46"/>
      <c r="W42" s="46"/>
      <c r="X42" s="46"/>
      <c r="Y42" s="46"/>
      <c r="Z42" s="46"/>
      <c r="AA42" s="46"/>
      <c r="AB42" s="46"/>
      <c r="AC42" s="46"/>
      <c r="AD42" s="46"/>
      <c r="AE42" s="46"/>
      <c r="AF42" s="46"/>
      <c r="AG42" s="46"/>
      <c r="AH42" s="46"/>
      <c r="AI42" s="46"/>
      <c r="AJ42" s="46"/>
      <c r="AK42" s="46"/>
      <c r="AL42" s="46"/>
      <c r="AM42" s="46"/>
      <c r="AN42" s="46"/>
      <c r="AO42" s="46"/>
      <c r="AP42" s="46"/>
      <c r="AQ42" s="46"/>
      <c r="AR42" s="46"/>
      <c r="AS42" s="46"/>
      <c r="AT42" s="46"/>
      <c r="AU42" s="46"/>
      <c r="AW42" s="40">
        <f t="shared" si="2"/>
        <v>0</v>
      </c>
      <c r="AX42">
        <f t="shared" si="0"/>
        <v>0</v>
      </c>
      <c r="AY42">
        <v>34</v>
      </c>
    </row>
    <row r="43" spans="1:51" x14ac:dyDescent="0.3">
      <c r="A43" s="18">
        <v>35</v>
      </c>
      <c r="B43" s="61"/>
      <c r="D43" s="30">
        <f t="shared" si="1"/>
        <v>0</v>
      </c>
      <c r="E43" s="45"/>
      <c r="G43" s="18">
        <v>35</v>
      </c>
      <c r="H43" s="65"/>
      <c r="I43" s="46"/>
      <c r="J43" s="46"/>
      <c r="K43" s="46"/>
      <c r="L43" s="46"/>
      <c r="M43" s="46"/>
      <c r="N43" s="46"/>
      <c r="O43" s="46"/>
      <c r="P43" s="46"/>
      <c r="Q43" s="46"/>
      <c r="R43" s="46"/>
      <c r="S43" s="46"/>
      <c r="T43" s="46"/>
      <c r="U43" s="46"/>
      <c r="V43" s="46"/>
      <c r="W43" s="46"/>
      <c r="X43" s="46"/>
      <c r="Y43" s="46"/>
      <c r="Z43" s="46"/>
      <c r="AA43" s="46"/>
      <c r="AB43" s="46"/>
      <c r="AC43" s="46"/>
      <c r="AD43" s="46"/>
      <c r="AE43" s="46"/>
      <c r="AF43" s="46"/>
      <c r="AG43" s="46"/>
      <c r="AH43" s="46"/>
      <c r="AI43" s="46"/>
      <c r="AJ43" s="46"/>
      <c r="AK43" s="46"/>
      <c r="AL43" s="46"/>
      <c r="AM43" s="46"/>
      <c r="AN43" s="46"/>
      <c r="AO43" s="46"/>
      <c r="AP43" s="46"/>
      <c r="AQ43" s="46"/>
      <c r="AR43" s="46"/>
      <c r="AS43" s="46"/>
      <c r="AT43" s="46"/>
      <c r="AU43" s="46"/>
      <c r="AW43" s="40">
        <f t="shared" si="2"/>
        <v>0</v>
      </c>
      <c r="AX43">
        <f t="shared" si="0"/>
        <v>0</v>
      </c>
      <c r="AY43">
        <v>35</v>
      </c>
    </row>
    <row r="44" spans="1:51" x14ac:dyDescent="0.3">
      <c r="A44" s="18">
        <v>36</v>
      </c>
      <c r="B44" s="61"/>
      <c r="D44" s="30">
        <f t="shared" si="1"/>
        <v>0</v>
      </c>
      <c r="E44" s="45"/>
      <c r="G44" s="18">
        <v>36</v>
      </c>
      <c r="H44" s="65"/>
      <c r="I44" s="46"/>
      <c r="J44" s="46"/>
      <c r="K44" s="46"/>
      <c r="L44" s="46"/>
      <c r="M44" s="46"/>
      <c r="N44" s="46"/>
      <c r="O44" s="46"/>
      <c r="P44" s="46"/>
      <c r="Q44" s="46"/>
      <c r="R44" s="46"/>
      <c r="S44" s="46"/>
      <c r="T44" s="46"/>
      <c r="U44" s="46"/>
      <c r="V44" s="46"/>
      <c r="W44" s="46"/>
      <c r="X44" s="46"/>
      <c r="Y44" s="46"/>
      <c r="Z44" s="46"/>
      <c r="AA44" s="46"/>
      <c r="AB44" s="46"/>
      <c r="AC44" s="46"/>
      <c r="AD44" s="46"/>
      <c r="AE44" s="46"/>
      <c r="AF44" s="46"/>
      <c r="AG44" s="46"/>
      <c r="AH44" s="46"/>
      <c r="AI44" s="46"/>
      <c r="AJ44" s="46"/>
      <c r="AK44" s="46"/>
      <c r="AL44" s="46"/>
      <c r="AM44" s="46"/>
      <c r="AN44" s="46"/>
      <c r="AO44" s="46"/>
      <c r="AP44" s="46"/>
      <c r="AQ44" s="46"/>
      <c r="AR44" s="46"/>
      <c r="AS44" s="46"/>
      <c r="AT44" s="46"/>
      <c r="AU44" s="46"/>
      <c r="AW44" s="40">
        <f t="shared" si="2"/>
        <v>0</v>
      </c>
      <c r="AX44">
        <f t="shared" si="0"/>
        <v>0</v>
      </c>
      <c r="AY44">
        <v>36</v>
      </c>
    </row>
    <row r="45" spans="1:51" x14ac:dyDescent="0.3">
      <c r="A45" s="18">
        <v>37</v>
      </c>
      <c r="B45" s="61"/>
      <c r="D45" s="30">
        <f t="shared" si="1"/>
        <v>0</v>
      </c>
      <c r="E45" s="45"/>
      <c r="G45" s="18">
        <v>37</v>
      </c>
      <c r="H45" s="65"/>
      <c r="I45" s="46"/>
      <c r="J45" s="46"/>
      <c r="K45" s="46"/>
      <c r="L45" s="46"/>
      <c r="M45" s="46"/>
      <c r="N45" s="46"/>
      <c r="O45" s="46"/>
      <c r="P45" s="46"/>
      <c r="Q45" s="46"/>
      <c r="R45" s="46"/>
      <c r="S45" s="46"/>
      <c r="T45" s="46"/>
      <c r="U45" s="46"/>
      <c r="V45" s="46"/>
      <c r="W45" s="46"/>
      <c r="X45" s="46"/>
      <c r="Y45" s="46"/>
      <c r="Z45" s="46"/>
      <c r="AA45" s="46"/>
      <c r="AB45" s="46"/>
      <c r="AC45" s="46"/>
      <c r="AD45" s="46"/>
      <c r="AE45" s="46"/>
      <c r="AF45" s="46"/>
      <c r="AG45" s="46"/>
      <c r="AH45" s="46"/>
      <c r="AI45" s="46"/>
      <c r="AJ45" s="46"/>
      <c r="AK45" s="46"/>
      <c r="AL45" s="46"/>
      <c r="AM45" s="46"/>
      <c r="AN45" s="46"/>
      <c r="AO45" s="46"/>
      <c r="AP45" s="46"/>
      <c r="AQ45" s="46"/>
      <c r="AR45" s="46"/>
      <c r="AS45" s="46"/>
      <c r="AT45" s="46"/>
      <c r="AU45" s="46"/>
      <c r="AW45" s="40">
        <f t="shared" si="2"/>
        <v>0</v>
      </c>
      <c r="AX45">
        <f t="shared" si="0"/>
        <v>0</v>
      </c>
      <c r="AY45">
        <v>37</v>
      </c>
    </row>
    <row r="46" spans="1:51" x14ac:dyDescent="0.3">
      <c r="A46" s="18">
        <v>38</v>
      </c>
      <c r="B46" s="61"/>
      <c r="D46" s="30">
        <f t="shared" si="1"/>
        <v>0</v>
      </c>
      <c r="E46" s="45"/>
      <c r="G46" s="18">
        <v>38</v>
      </c>
      <c r="H46" s="65"/>
      <c r="I46" s="46"/>
      <c r="J46" s="46"/>
      <c r="K46" s="46"/>
      <c r="L46" s="46"/>
      <c r="M46" s="46"/>
      <c r="N46" s="46"/>
      <c r="O46" s="46"/>
      <c r="P46" s="46"/>
      <c r="Q46" s="46"/>
      <c r="R46" s="46"/>
      <c r="S46" s="46"/>
      <c r="T46" s="46"/>
      <c r="U46" s="46"/>
      <c r="V46" s="46"/>
      <c r="W46" s="46"/>
      <c r="X46" s="46"/>
      <c r="Y46" s="46"/>
      <c r="Z46" s="46"/>
      <c r="AA46" s="46"/>
      <c r="AB46" s="46"/>
      <c r="AC46" s="46"/>
      <c r="AD46" s="46"/>
      <c r="AE46" s="46"/>
      <c r="AF46" s="46"/>
      <c r="AG46" s="46"/>
      <c r="AH46" s="46"/>
      <c r="AI46" s="46"/>
      <c r="AJ46" s="46"/>
      <c r="AK46" s="46"/>
      <c r="AL46" s="46"/>
      <c r="AM46" s="46"/>
      <c r="AN46" s="46"/>
      <c r="AO46" s="46"/>
      <c r="AP46" s="46"/>
      <c r="AQ46" s="46"/>
      <c r="AR46" s="46"/>
      <c r="AS46" s="46"/>
      <c r="AT46" s="46"/>
      <c r="AU46" s="46"/>
      <c r="AW46" s="40">
        <f t="shared" si="2"/>
        <v>0</v>
      </c>
      <c r="AX46">
        <f t="shared" si="0"/>
        <v>0</v>
      </c>
      <c r="AY46">
        <v>38</v>
      </c>
    </row>
    <row r="47" spans="1:51" x14ac:dyDescent="0.3">
      <c r="A47" s="18">
        <v>39</v>
      </c>
      <c r="B47" s="61"/>
      <c r="D47" s="30">
        <f t="shared" si="1"/>
        <v>0</v>
      </c>
      <c r="E47" s="45"/>
      <c r="G47" s="18">
        <v>39</v>
      </c>
      <c r="H47" s="65"/>
      <c r="I47" s="46"/>
      <c r="J47" s="46"/>
      <c r="K47" s="46"/>
      <c r="L47" s="46"/>
      <c r="M47" s="46"/>
      <c r="N47" s="46"/>
      <c r="O47" s="46"/>
      <c r="P47" s="46"/>
      <c r="Q47" s="46"/>
      <c r="R47" s="46"/>
      <c r="S47" s="46"/>
      <c r="T47" s="46"/>
      <c r="U47" s="46"/>
      <c r="V47" s="46"/>
      <c r="W47" s="46"/>
      <c r="X47" s="46"/>
      <c r="Y47" s="46"/>
      <c r="Z47" s="46"/>
      <c r="AA47" s="46"/>
      <c r="AB47" s="46"/>
      <c r="AC47" s="46"/>
      <c r="AD47" s="46"/>
      <c r="AE47" s="46"/>
      <c r="AF47" s="46"/>
      <c r="AG47" s="46"/>
      <c r="AH47" s="46"/>
      <c r="AI47" s="46"/>
      <c r="AJ47" s="46"/>
      <c r="AK47" s="46"/>
      <c r="AL47" s="46"/>
      <c r="AM47" s="46"/>
      <c r="AN47" s="46"/>
      <c r="AO47" s="46"/>
      <c r="AP47" s="46"/>
      <c r="AQ47" s="46"/>
      <c r="AR47" s="46"/>
      <c r="AS47" s="46"/>
      <c r="AT47" s="46"/>
      <c r="AU47" s="46"/>
      <c r="AW47" s="40">
        <f t="shared" si="2"/>
        <v>0</v>
      </c>
      <c r="AX47">
        <f t="shared" si="0"/>
        <v>0</v>
      </c>
      <c r="AY47">
        <v>39</v>
      </c>
    </row>
    <row r="48" spans="1:51" ht="15" thickBot="1" x14ac:dyDescent="0.35">
      <c r="A48" s="19">
        <v>40</v>
      </c>
      <c r="B48" s="62"/>
      <c r="D48" s="31">
        <f t="shared" si="1"/>
        <v>0</v>
      </c>
      <c r="E48" s="45"/>
      <c r="G48" s="19">
        <v>40</v>
      </c>
      <c r="H48" s="65"/>
      <c r="I48" s="46"/>
      <c r="J48" s="46"/>
      <c r="K48" s="46"/>
      <c r="L48" s="46"/>
      <c r="M48" s="46"/>
      <c r="N48" s="46"/>
      <c r="O48" s="46"/>
      <c r="P48" s="46"/>
      <c r="Q48" s="46"/>
      <c r="R48" s="46"/>
      <c r="S48" s="46"/>
      <c r="T48" s="46"/>
      <c r="U48" s="46"/>
      <c r="V48" s="46"/>
      <c r="W48" s="46"/>
      <c r="X48" s="46"/>
      <c r="Y48" s="46"/>
      <c r="Z48" s="46"/>
      <c r="AA48" s="46"/>
      <c r="AB48" s="46"/>
      <c r="AC48" s="46"/>
      <c r="AD48" s="46"/>
      <c r="AE48" s="46"/>
      <c r="AF48" s="46"/>
      <c r="AG48" s="46"/>
      <c r="AH48" s="46"/>
      <c r="AI48" s="46"/>
      <c r="AJ48" s="46"/>
      <c r="AK48" s="46"/>
      <c r="AL48" s="46"/>
      <c r="AM48" s="46"/>
      <c r="AN48" s="46"/>
      <c r="AO48" s="46"/>
      <c r="AP48" s="46"/>
      <c r="AQ48" s="46"/>
      <c r="AR48" s="46"/>
      <c r="AS48" s="46"/>
      <c r="AT48" s="46"/>
      <c r="AU48" s="46"/>
      <c r="AW48" s="40">
        <f t="shared" si="2"/>
        <v>0</v>
      </c>
      <c r="AX48">
        <f t="shared" si="0"/>
        <v>0</v>
      </c>
      <c r="AY48">
        <v>40</v>
      </c>
    </row>
    <row r="49" spans="1:51" x14ac:dyDescent="0.3">
      <c r="B49" s="57">
        <f>SUM(B9:B48)</f>
        <v>143526</v>
      </c>
      <c r="D49" s="33">
        <f>SUM(D9:D48)</f>
        <v>1</v>
      </c>
      <c r="F49" s="66">
        <f>SUM(H9:AU48)</f>
        <v>17225.153350830078</v>
      </c>
      <c r="H49" s="40"/>
      <c r="I49" s="40"/>
      <c r="J49" s="40"/>
      <c r="K49" s="40"/>
      <c r="L49" s="40"/>
      <c r="M49" s="40"/>
      <c r="N49" s="40"/>
      <c r="O49" s="40"/>
      <c r="P49" s="40"/>
      <c r="Q49" s="40"/>
      <c r="R49" s="40"/>
      <c r="S49" s="40"/>
      <c r="T49" s="40"/>
      <c r="U49" s="40"/>
      <c r="V49" s="40"/>
      <c r="W49" s="40"/>
      <c r="X49" s="40"/>
      <c r="Y49" s="40"/>
      <c r="Z49" s="40"/>
      <c r="AA49" s="40"/>
      <c r="AB49" s="40"/>
      <c r="AC49" s="40"/>
      <c r="AD49" s="40"/>
      <c r="AE49" s="40"/>
      <c r="AF49" s="40"/>
      <c r="AG49" s="40"/>
      <c r="AH49" s="40"/>
      <c r="AI49" s="40"/>
      <c r="AJ49" s="40"/>
      <c r="AK49" s="40"/>
      <c r="AL49" s="40"/>
      <c r="AM49" s="40"/>
      <c r="AN49" s="40"/>
      <c r="AO49" s="40"/>
      <c r="AP49" s="40"/>
      <c r="AQ49" s="40"/>
      <c r="AR49" s="40"/>
      <c r="AS49" s="40"/>
      <c r="AT49" s="40"/>
      <c r="AU49" s="40"/>
      <c r="AV49" s="67"/>
      <c r="AW49" s="40"/>
    </row>
    <row r="50" spans="1:51" x14ac:dyDescent="0.3">
      <c r="H50" s="40"/>
      <c r="I50" s="40"/>
      <c r="J50" s="40"/>
      <c r="K50" s="40"/>
      <c r="L50" s="40"/>
      <c r="M50" s="40"/>
      <c r="N50" s="40"/>
      <c r="O50" s="40"/>
      <c r="P50" s="40"/>
      <c r="Q50" s="40"/>
      <c r="R50" s="40"/>
      <c r="S50" s="40"/>
      <c r="T50" s="40"/>
      <c r="U50" s="40"/>
      <c r="V50" s="40"/>
      <c r="W50" s="40"/>
      <c r="X50" s="40"/>
      <c r="Y50" s="40"/>
      <c r="Z50" s="40"/>
      <c r="AA50" s="40"/>
      <c r="AB50" s="40"/>
      <c r="AC50" s="40"/>
      <c r="AD50" s="40"/>
      <c r="AE50" s="40"/>
      <c r="AF50" s="40"/>
      <c r="AG50" s="40"/>
      <c r="AH50" s="40"/>
      <c r="AI50" s="40"/>
      <c r="AJ50" s="40"/>
      <c r="AK50" s="40"/>
      <c r="AL50" s="40"/>
      <c r="AM50" s="40"/>
      <c r="AN50" s="40"/>
      <c r="AO50" s="40"/>
      <c r="AP50" s="40"/>
      <c r="AQ50" s="40"/>
      <c r="AR50" s="40"/>
      <c r="AS50" s="40"/>
      <c r="AT50" s="40"/>
      <c r="AU50" s="40"/>
      <c r="AW50" s="40"/>
    </row>
    <row r="51" spans="1:51" ht="15" thickBot="1" x14ac:dyDescent="0.35">
      <c r="H51" s="40"/>
      <c r="I51" s="40"/>
      <c r="J51" s="40"/>
      <c r="K51" s="40"/>
      <c r="L51" s="40"/>
      <c r="M51" s="40"/>
      <c r="N51" s="40"/>
      <c r="O51" s="40"/>
      <c r="P51" s="40"/>
      <c r="Q51" s="40"/>
      <c r="R51" s="40"/>
      <c r="S51" s="40"/>
      <c r="T51" s="40"/>
      <c r="U51" s="40"/>
      <c r="V51" s="40"/>
      <c r="W51" s="40"/>
      <c r="X51" s="40"/>
      <c r="Y51" s="40"/>
      <c r="Z51" s="40"/>
      <c r="AA51" s="40"/>
      <c r="AB51" s="40"/>
      <c r="AC51" s="40"/>
      <c r="AD51" s="40"/>
      <c r="AE51" s="40"/>
      <c r="AF51" s="40"/>
      <c r="AG51" s="40"/>
      <c r="AH51" s="40"/>
      <c r="AI51" s="40"/>
      <c r="AJ51" s="40"/>
      <c r="AK51" s="40"/>
      <c r="AL51" s="40"/>
      <c r="AM51" s="40"/>
      <c r="AN51" s="40"/>
      <c r="AO51" s="40"/>
      <c r="AP51" s="40"/>
      <c r="AQ51" s="40"/>
      <c r="AR51" s="40"/>
      <c r="AS51" s="40"/>
      <c r="AT51" s="40"/>
      <c r="AU51" s="40"/>
      <c r="AW51" s="40"/>
    </row>
    <row r="52" spans="1:51" ht="15" thickBot="1" x14ac:dyDescent="0.35">
      <c r="A52" s="41" t="s">
        <v>24</v>
      </c>
      <c r="B52" s="42"/>
      <c r="C52" s="43">
        <v>4222</v>
      </c>
      <c r="H52" s="40"/>
      <c r="I52" s="40"/>
      <c r="J52" s="40"/>
      <c r="K52" s="40"/>
      <c r="L52" s="40"/>
      <c r="M52" s="40"/>
      <c r="N52" s="40"/>
      <c r="O52" s="40"/>
      <c r="P52" s="40"/>
      <c r="Q52" s="40"/>
      <c r="R52" s="40"/>
      <c r="S52" s="40"/>
      <c r="T52" s="40"/>
      <c r="U52" s="40"/>
      <c r="V52" s="40"/>
      <c r="W52" s="40"/>
      <c r="X52" s="40"/>
      <c r="Y52" s="40"/>
      <c r="Z52" s="40"/>
      <c r="AA52" s="40"/>
      <c r="AB52" s="40"/>
      <c r="AC52" s="40"/>
      <c r="AD52" s="40"/>
      <c r="AE52" s="40"/>
      <c r="AF52" s="40"/>
      <c r="AG52" s="40"/>
      <c r="AH52" s="40"/>
      <c r="AI52" s="40"/>
      <c r="AJ52" s="40"/>
      <c r="AK52" s="40"/>
      <c r="AL52" s="40"/>
      <c r="AM52" s="40"/>
      <c r="AN52" s="40"/>
      <c r="AO52" s="40"/>
      <c r="AP52" s="40"/>
      <c r="AQ52" s="40"/>
      <c r="AR52" s="40"/>
      <c r="AS52" s="40"/>
      <c r="AT52" s="40"/>
      <c r="AU52" s="40"/>
      <c r="AW52" s="40"/>
    </row>
    <row r="53" spans="1:51" ht="15" thickBot="1" x14ac:dyDescent="0.35">
      <c r="H53" s="40"/>
      <c r="I53" s="40"/>
      <c r="J53" s="40"/>
      <c r="K53" s="40"/>
      <c r="L53" s="40"/>
      <c r="M53" s="40"/>
      <c r="N53" s="40"/>
      <c r="O53" s="40"/>
      <c r="P53" s="40"/>
      <c r="Q53" s="40"/>
      <c r="R53" s="40"/>
      <c r="S53" s="40"/>
      <c r="T53" s="40"/>
      <c r="U53" s="40"/>
      <c r="V53" s="40"/>
      <c r="W53" s="40"/>
      <c r="X53" s="40"/>
      <c r="Y53" s="40"/>
      <c r="Z53" s="40"/>
      <c r="AA53" s="40"/>
      <c r="AB53" s="40"/>
      <c r="AC53" s="40"/>
      <c r="AD53" s="40"/>
      <c r="AE53" s="40"/>
      <c r="AF53" s="40"/>
      <c r="AG53" s="40"/>
      <c r="AH53" s="40"/>
      <c r="AI53" s="40"/>
      <c r="AJ53" s="40"/>
      <c r="AK53" s="40"/>
      <c r="AL53" s="40"/>
      <c r="AM53" s="40"/>
      <c r="AN53" s="40"/>
      <c r="AO53" s="40"/>
      <c r="AP53" s="40"/>
      <c r="AQ53" s="40"/>
      <c r="AR53" s="40"/>
      <c r="AS53" s="40"/>
      <c r="AT53" s="40"/>
      <c r="AU53" s="40"/>
      <c r="AW53" s="40"/>
    </row>
    <row r="54" spans="1:51" x14ac:dyDescent="0.3">
      <c r="A54" s="68" t="s">
        <v>34</v>
      </c>
      <c r="B54" s="60">
        <v>0.2</v>
      </c>
      <c r="C54" s="71" t="s">
        <v>15</v>
      </c>
      <c r="H54" s="40"/>
      <c r="I54" s="40"/>
      <c r="J54" s="40"/>
      <c r="K54" s="40"/>
      <c r="L54" s="40"/>
      <c r="M54" s="40"/>
      <c r="N54" s="40"/>
      <c r="O54" s="40"/>
      <c r="P54" s="40"/>
      <c r="Q54" s="40"/>
      <c r="R54" s="40"/>
      <c r="S54" s="40"/>
      <c r="T54" s="40"/>
      <c r="U54" s="40"/>
      <c r="V54" s="40"/>
      <c r="W54" s="40"/>
      <c r="X54" s="40"/>
      <c r="Y54" s="40"/>
      <c r="Z54" s="40"/>
      <c r="AA54" s="40"/>
      <c r="AB54" s="40"/>
      <c r="AC54" s="40"/>
      <c r="AD54" s="40"/>
      <c r="AE54" s="40"/>
      <c r="AF54" s="40"/>
      <c r="AG54" s="40"/>
      <c r="AH54" s="40"/>
      <c r="AI54" s="40"/>
      <c r="AJ54" s="40"/>
      <c r="AK54" s="40"/>
      <c r="AL54" s="40"/>
      <c r="AM54" s="40"/>
      <c r="AN54" s="40"/>
      <c r="AO54" s="40"/>
      <c r="AP54" s="40"/>
      <c r="AQ54" s="40"/>
      <c r="AR54" s="40"/>
      <c r="AS54" s="40"/>
      <c r="AT54" s="40"/>
      <c r="AU54" s="40"/>
      <c r="AW54" s="40"/>
    </row>
    <row r="55" spans="1:51" x14ac:dyDescent="0.3">
      <c r="A55" s="69" t="s">
        <v>36</v>
      </c>
      <c r="B55" s="74">
        <v>1</v>
      </c>
      <c r="C55" s="72" t="s">
        <v>37</v>
      </c>
      <c r="H55" s="40"/>
      <c r="I55" s="40"/>
      <c r="J55" s="40"/>
      <c r="K55" s="40"/>
      <c r="L55" s="40"/>
      <c r="M55" s="40"/>
      <c r="N55" s="40"/>
      <c r="O55" s="40"/>
      <c r="P55" s="40"/>
      <c r="Q55" s="40"/>
      <c r="R55" s="40"/>
      <c r="S55" s="40"/>
      <c r="T55" s="40"/>
      <c r="U55" s="40"/>
      <c r="V55" s="40"/>
      <c r="W55" s="40"/>
      <c r="X55" s="40"/>
      <c r="Y55" s="40"/>
      <c r="Z55" s="40"/>
      <c r="AA55" s="40"/>
      <c r="AB55" s="40"/>
      <c r="AC55" s="40"/>
      <c r="AD55" s="40"/>
      <c r="AE55" s="40"/>
      <c r="AF55" s="40"/>
      <c r="AG55" s="40"/>
      <c r="AH55" s="40"/>
      <c r="AI55" s="40"/>
      <c r="AJ55" s="40"/>
      <c r="AK55" s="40"/>
      <c r="AL55" s="40"/>
      <c r="AM55" s="40"/>
      <c r="AN55" s="40"/>
      <c r="AO55" s="40"/>
      <c r="AP55" s="40"/>
      <c r="AQ55" s="40"/>
      <c r="AR55" s="40"/>
      <c r="AS55" s="40"/>
      <c r="AT55" s="40"/>
      <c r="AU55" s="40"/>
      <c r="AW55" s="40"/>
    </row>
    <row r="56" spans="1:51" ht="15" thickBot="1" x14ac:dyDescent="0.35">
      <c r="A56" s="70" t="s">
        <v>35</v>
      </c>
      <c r="B56" s="62">
        <v>150</v>
      </c>
      <c r="C56" s="73" t="s">
        <v>33</v>
      </c>
      <c r="H56" s="40"/>
      <c r="I56" s="40"/>
      <c r="J56" s="40"/>
      <c r="K56" s="40"/>
      <c r="L56" s="40"/>
      <c r="M56" s="40"/>
      <c r="N56" s="40"/>
      <c r="O56" s="40"/>
      <c r="P56" s="40"/>
      <c r="Q56" s="40"/>
      <c r="R56" s="40"/>
      <c r="S56" s="40"/>
      <c r="T56" s="40"/>
      <c r="U56" s="40"/>
      <c r="V56" s="40"/>
      <c r="W56" s="40"/>
      <c r="X56" s="40"/>
      <c r="Y56" s="40"/>
      <c r="Z56" s="40"/>
      <c r="AA56" s="40"/>
      <c r="AB56" s="40"/>
      <c r="AC56" s="40"/>
      <c r="AD56" s="40"/>
      <c r="AE56" s="40"/>
      <c r="AF56" s="40"/>
      <c r="AG56" s="40"/>
      <c r="AH56" s="40"/>
      <c r="AI56" s="40"/>
      <c r="AJ56" s="40"/>
      <c r="AK56" s="40"/>
      <c r="AL56" s="40"/>
      <c r="AM56" s="40"/>
      <c r="AN56" s="40"/>
      <c r="AO56" s="40"/>
      <c r="AP56" s="40"/>
      <c r="AQ56" s="40"/>
      <c r="AR56" s="40"/>
      <c r="AS56" s="40"/>
      <c r="AT56" s="40"/>
      <c r="AU56" s="40"/>
      <c r="AW56" s="40"/>
    </row>
    <row r="57" spans="1:51" x14ac:dyDescent="0.3">
      <c r="H57" s="40"/>
      <c r="I57" s="40"/>
      <c r="J57" s="40"/>
      <c r="K57" s="40"/>
      <c r="L57" s="40"/>
      <c r="M57" s="40"/>
      <c r="N57" s="40"/>
      <c r="O57" s="40"/>
      <c r="P57" s="40"/>
      <c r="Q57" s="40"/>
      <c r="R57" s="40"/>
      <c r="S57" s="40"/>
      <c r="T57" s="40"/>
      <c r="U57" s="40"/>
      <c r="V57" s="40"/>
      <c r="W57" s="40"/>
      <c r="X57" s="40"/>
      <c r="Y57" s="40"/>
      <c r="Z57" s="40"/>
      <c r="AA57" s="40"/>
      <c r="AB57" s="40"/>
      <c r="AC57" s="40"/>
      <c r="AD57" s="40"/>
      <c r="AE57" s="40"/>
      <c r="AF57" s="40"/>
      <c r="AG57" s="40"/>
      <c r="AH57" s="40"/>
      <c r="AI57" s="40"/>
      <c r="AJ57" s="40"/>
      <c r="AK57" s="40"/>
      <c r="AL57" s="40"/>
      <c r="AM57" s="40"/>
      <c r="AN57" s="40"/>
      <c r="AO57" s="40"/>
      <c r="AP57" s="40"/>
      <c r="AQ57" s="40"/>
      <c r="AR57" s="40"/>
      <c r="AS57" s="40"/>
      <c r="AT57" s="40"/>
      <c r="AU57" s="40"/>
      <c r="AW57" s="40"/>
    </row>
    <row r="58" spans="1:51" x14ac:dyDescent="0.3">
      <c r="H58" s="40"/>
      <c r="I58" s="40"/>
      <c r="J58" s="40"/>
      <c r="K58" s="40"/>
      <c r="L58" s="40"/>
      <c r="M58" s="40"/>
      <c r="N58" s="40"/>
      <c r="O58" s="40"/>
      <c r="P58" s="40"/>
      <c r="Q58" s="40"/>
      <c r="R58" s="40"/>
      <c r="S58" s="40"/>
      <c r="T58" s="40"/>
      <c r="U58" s="40"/>
      <c r="V58" s="40"/>
      <c r="W58" s="40"/>
      <c r="X58" s="40"/>
      <c r="Y58" s="40"/>
      <c r="Z58" s="40"/>
      <c r="AA58" s="40"/>
      <c r="AB58" s="40"/>
      <c r="AC58" s="40"/>
      <c r="AD58" s="40"/>
      <c r="AE58" s="40"/>
      <c r="AF58" s="40"/>
      <c r="AG58" s="40"/>
      <c r="AH58" s="40"/>
      <c r="AI58" s="40"/>
      <c r="AJ58" s="40"/>
      <c r="AK58" s="40"/>
      <c r="AL58" s="40"/>
      <c r="AM58" s="40"/>
      <c r="AN58" s="40"/>
      <c r="AO58" s="40"/>
      <c r="AP58" s="40"/>
      <c r="AQ58" s="40"/>
      <c r="AR58" s="40"/>
      <c r="AS58" s="40"/>
      <c r="AT58" s="40"/>
      <c r="AU58" s="40"/>
      <c r="AW58" s="40"/>
    </row>
    <row r="59" spans="1:51" ht="16.5" customHeight="1" x14ac:dyDescent="0.3">
      <c r="AW59" s="40"/>
    </row>
    <row r="60" spans="1:51" ht="15" hidden="1" thickBot="1" x14ac:dyDescent="0.35">
      <c r="A60" s="34" t="s">
        <v>19</v>
      </c>
      <c r="B60" s="35">
        <v>0</v>
      </c>
      <c r="H60" s="40">
        <f>SUM(H9:H59)</f>
        <v>669.1981315612793</v>
      </c>
      <c r="I60" s="40">
        <f t="shared" ref="I60:AU60" si="3">SUM(I9:I59)</f>
        <v>747.2686767578125</v>
      </c>
      <c r="J60" s="40">
        <f t="shared" si="3"/>
        <v>1013.6639952659607</v>
      </c>
      <c r="K60" s="40">
        <f t="shared" si="3"/>
        <v>425.77029466629028</v>
      </c>
      <c r="L60" s="40">
        <f t="shared" si="3"/>
        <v>641.10813140869141</v>
      </c>
      <c r="M60" s="40">
        <f t="shared" si="3"/>
        <v>496.60146236419678</v>
      </c>
      <c r="N60" s="40">
        <f t="shared" si="3"/>
        <v>886.9054913520813</v>
      </c>
      <c r="O60" s="40">
        <f t="shared" si="3"/>
        <v>816.86710119247437</v>
      </c>
      <c r="P60" s="40">
        <f t="shared" si="3"/>
        <v>503.28329801559448</v>
      </c>
      <c r="Q60" s="40">
        <f t="shared" si="3"/>
        <v>530.5293083190918</v>
      </c>
      <c r="R60" s="40">
        <f t="shared" si="3"/>
        <v>508.68520736694336</v>
      </c>
      <c r="S60" s="40">
        <f t="shared" si="3"/>
        <v>934.66055393218994</v>
      </c>
      <c r="T60" s="40">
        <f t="shared" si="3"/>
        <v>583.63006114959717</v>
      </c>
      <c r="U60" s="40">
        <f t="shared" si="3"/>
        <v>846.80907726287842</v>
      </c>
      <c r="V60" s="40">
        <f t="shared" si="3"/>
        <v>616.61765575408936</v>
      </c>
      <c r="W60" s="40">
        <f t="shared" si="3"/>
        <v>680.39897680282593</v>
      </c>
      <c r="X60" s="40">
        <f t="shared" si="3"/>
        <v>784.24001932144165</v>
      </c>
      <c r="Y60" s="40">
        <f t="shared" si="3"/>
        <v>841.54776334762573</v>
      </c>
      <c r="Z60" s="40">
        <f t="shared" si="3"/>
        <v>833.8405966758728</v>
      </c>
      <c r="AA60" s="40">
        <f t="shared" si="3"/>
        <v>214.72041606903076</v>
      </c>
      <c r="AB60" s="40">
        <f t="shared" si="3"/>
        <v>489.74865674972534</v>
      </c>
      <c r="AC60" s="40">
        <f t="shared" si="3"/>
        <v>530.15362024307251</v>
      </c>
      <c r="AD60" s="40">
        <f t="shared" si="3"/>
        <v>502.79532670974731</v>
      </c>
      <c r="AE60" s="40">
        <f t="shared" si="3"/>
        <v>556.38276338577271</v>
      </c>
      <c r="AF60" s="40">
        <f t="shared" si="3"/>
        <v>514.36601877212524</v>
      </c>
      <c r="AG60" s="40">
        <f t="shared" si="3"/>
        <v>471.94790840148926</v>
      </c>
      <c r="AH60" s="40">
        <f t="shared" si="3"/>
        <v>583.41283798217773</v>
      </c>
      <c r="AI60" s="40">
        <f t="shared" si="3"/>
        <v>0</v>
      </c>
      <c r="AJ60" s="40">
        <f t="shared" si="3"/>
        <v>0</v>
      </c>
      <c r="AK60" s="40">
        <f t="shared" si="3"/>
        <v>0</v>
      </c>
      <c r="AL60" s="40">
        <f t="shared" si="3"/>
        <v>0</v>
      </c>
      <c r="AM60" s="40">
        <f t="shared" si="3"/>
        <v>0</v>
      </c>
      <c r="AN60" s="40">
        <f t="shared" si="3"/>
        <v>0</v>
      </c>
      <c r="AO60" s="40">
        <f t="shared" si="3"/>
        <v>0</v>
      </c>
      <c r="AP60" s="40">
        <f t="shared" si="3"/>
        <v>0</v>
      </c>
      <c r="AQ60" s="40">
        <f t="shared" si="3"/>
        <v>0</v>
      </c>
      <c r="AR60" s="40">
        <f t="shared" si="3"/>
        <v>0</v>
      </c>
      <c r="AS60" s="40">
        <f t="shared" si="3"/>
        <v>0</v>
      </c>
      <c r="AT60" s="40">
        <f t="shared" si="3"/>
        <v>0</v>
      </c>
      <c r="AU60" s="40">
        <f t="shared" si="3"/>
        <v>0</v>
      </c>
      <c r="AV60" s="40"/>
      <c r="AX60">
        <f>SUM(AX9:AX48)</f>
        <v>336</v>
      </c>
      <c r="AY60">
        <f>(B63^2-3*B63+4)/2</f>
        <v>326</v>
      </c>
    </row>
    <row r="61" spans="1:51" ht="15" hidden="1" thickBot="1" x14ac:dyDescent="0.35">
      <c r="A61" s="34" t="s">
        <v>20</v>
      </c>
      <c r="B61" s="34">
        <v>100</v>
      </c>
      <c r="H61">
        <v>1</v>
      </c>
      <c r="I61">
        <v>2</v>
      </c>
      <c r="J61">
        <v>3</v>
      </c>
      <c r="K61">
        <v>4</v>
      </c>
      <c r="L61">
        <v>5</v>
      </c>
      <c r="M61">
        <v>6</v>
      </c>
      <c r="N61">
        <v>7</v>
      </c>
      <c r="O61">
        <v>8</v>
      </c>
      <c r="P61">
        <v>9</v>
      </c>
      <c r="Q61">
        <v>10</v>
      </c>
      <c r="R61">
        <v>11</v>
      </c>
      <c r="S61">
        <v>12</v>
      </c>
      <c r="T61">
        <v>13</v>
      </c>
      <c r="U61">
        <v>14</v>
      </c>
      <c r="V61">
        <v>15</v>
      </c>
      <c r="W61">
        <v>16</v>
      </c>
      <c r="X61">
        <v>17</v>
      </c>
      <c r="Y61">
        <v>18</v>
      </c>
      <c r="Z61">
        <v>19</v>
      </c>
      <c r="AA61">
        <v>20</v>
      </c>
      <c r="AB61">
        <v>21</v>
      </c>
      <c r="AC61">
        <v>22</v>
      </c>
      <c r="AD61">
        <v>23</v>
      </c>
      <c r="AE61">
        <v>24</v>
      </c>
      <c r="AF61">
        <v>25</v>
      </c>
      <c r="AG61">
        <v>26</v>
      </c>
      <c r="AH61">
        <v>27</v>
      </c>
      <c r="AI61">
        <v>28</v>
      </c>
      <c r="AJ61">
        <v>29</v>
      </c>
      <c r="AK61">
        <v>30</v>
      </c>
      <c r="AL61">
        <v>31</v>
      </c>
      <c r="AM61">
        <v>32</v>
      </c>
      <c r="AN61">
        <v>33</v>
      </c>
      <c r="AO61">
        <v>34</v>
      </c>
      <c r="AP61">
        <v>35</v>
      </c>
      <c r="AQ61">
        <v>36</v>
      </c>
      <c r="AR61">
        <v>37</v>
      </c>
      <c r="AS61">
        <v>38</v>
      </c>
      <c r="AT61">
        <v>39</v>
      </c>
      <c r="AU61">
        <v>40</v>
      </c>
    </row>
    <row r="62" spans="1:51" ht="15" hidden="1" thickBot="1" x14ac:dyDescent="0.35">
      <c r="A62" s="34" t="s">
        <v>21</v>
      </c>
      <c r="B62" s="34">
        <v>0.5</v>
      </c>
    </row>
    <row r="63" spans="1:51" ht="15" hidden="1" thickBot="1" x14ac:dyDescent="0.35">
      <c r="A63" s="34" t="s">
        <v>22</v>
      </c>
      <c r="B63" s="34">
        <v>27</v>
      </c>
    </row>
    <row r="64" spans="1:51" hidden="1" x14ac:dyDescent="0.3">
      <c r="A64">
        <v>1</v>
      </c>
      <c r="B64">
        <v>2</v>
      </c>
      <c r="C64">
        <v>3</v>
      </c>
      <c r="D64">
        <v>4</v>
      </c>
      <c r="E64">
        <v>5</v>
      </c>
      <c r="F64">
        <v>6</v>
      </c>
      <c r="G64">
        <v>7</v>
      </c>
      <c r="H64">
        <v>8</v>
      </c>
      <c r="I64">
        <v>9</v>
      </c>
      <c r="J64">
        <v>10</v>
      </c>
      <c r="K64">
        <v>11</v>
      </c>
      <c r="L64">
        <v>12</v>
      </c>
      <c r="M64">
        <v>13</v>
      </c>
      <c r="N64">
        <v>14</v>
      </c>
      <c r="O64">
        <v>15</v>
      </c>
      <c r="P64">
        <v>16</v>
      </c>
      <c r="Q64">
        <v>17</v>
      </c>
      <c r="R64">
        <v>18</v>
      </c>
      <c r="S64">
        <v>19</v>
      </c>
      <c r="T64">
        <v>20</v>
      </c>
      <c r="U64">
        <v>21</v>
      </c>
      <c r="V64">
        <v>22</v>
      </c>
      <c r="W64">
        <v>23</v>
      </c>
      <c r="X64">
        <v>24</v>
      </c>
      <c r="Y64">
        <v>25</v>
      </c>
      <c r="Z64">
        <v>26</v>
      </c>
      <c r="AA64">
        <v>27</v>
      </c>
      <c r="AB64">
        <v>28</v>
      </c>
      <c r="AC64">
        <v>29</v>
      </c>
      <c r="AD64">
        <v>30</v>
      </c>
      <c r="AE64">
        <v>31</v>
      </c>
      <c r="AF64">
        <v>32</v>
      </c>
      <c r="AG64">
        <v>33</v>
      </c>
      <c r="AH64">
        <v>34</v>
      </c>
      <c r="AI64">
        <v>35</v>
      </c>
      <c r="AJ64">
        <v>36</v>
      </c>
      <c r="AK64">
        <v>37</v>
      </c>
      <c r="AL64">
        <v>38</v>
      </c>
      <c r="AM64">
        <v>39</v>
      </c>
      <c r="AN64">
        <v>40</v>
      </c>
      <c r="AO64">
        <v>41</v>
      </c>
      <c r="AP64">
        <v>42</v>
      </c>
      <c r="AQ64">
        <v>43</v>
      </c>
      <c r="AR64">
        <v>44</v>
      </c>
      <c r="AS64">
        <v>45</v>
      </c>
      <c r="AT64">
        <v>46</v>
      </c>
      <c r="AU64">
        <v>47</v>
      </c>
      <c r="AV64">
        <v>48</v>
      </c>
      <c r="AW64">
        <v>49</v>
      </c>
      <c r="AX64">
        <v>50</v>
      </c>
      <c r="AY64">
        <v>51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generator">
                <anchor moveWithCells="1" sizeWithCells="1">
                  <from>
                    <xdr:col>3</xdr:col>
                    <xdr:colOff>99060</xdr:colOff>
                    <xdr:row>50</xdr:row>
                    <xdr:rowOff>182880</xdr:rowOff>
                  </from>
                  <to>
                    <xdr:col>4</xdr:col>
                    <xdr:colOff>381000</xdr:colOff>
                    <xdr:row>52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Лист14"/>
  <dimension ref="A1:Z31"/>
  <sheetViews>
    <sheetView workbookViewId="0">
      <selection activeCell="Z28" sqref="Z28"/>
    </sheetView>
  </sheetViews>
  <sheetFormatPr defaultRowHeight="14.4" x14ac:dyDescent="0.3"/>
  <cols>
    <col min="2" max="2" width="5" customWidth="1"/>
    <col min="3" max="22" width="4.109375" customWidth="1"/>
  </cols>
  <sheetData>
    <row r="1" spans="1:25" ht="15" thickBot="1" x14ac:dyDescent="0.35">
      <c r="A1" s="34" t="s">
        <v>19</v>
      </c>
      <c r="B1" s="35">
        <v>0</v>
      </c>
    </row>
    <row r="2" spans="1:25" ht="15" thickBot="1" x14ac:dyDescent="0.35">
      <c r="A2" s="34" t="s">
        <v>20</v>
      </c>
      <c r="B2" s="34">
        <v>100</v>
      </c>
    </row>
    <row r="3" spans="1:25" ht="15" thickBot="1" x14ac:dyDescent="0.35">
      <c r="A3" s="34" t="s">
        <v>21</v>
      </c>
      <c r="B3" s="34">
        <v>0.5</v>
      </c>
    </row>
    <row r="4" spans="1:25" ht="15" thickBot="1" x14ac:dyDescent="0.35">
      <c r="A4" s="34" t="s">
        <v>22</v>
      </c>
      <c r="B4" s="34">
        <v>20</v>
      </c>
    </row>
    <row r="6" spans="1:25" x14ac:dyDescent="0.3">
      <c r="C6" s="9">
        <v>1</v>
      </c>
      <c r="D6" s="9">
        <v>2</v>
      </c>
      <c r="E6" s="9">
        <v>3</v>
      </c>
      <c r="F6" s="9">
        <v>4</v>
      </c>
      <c r="G6" s="9">
        <v>5</v>
      </c>
      <c r="H6" s="9">
        <v>6</v>
      </c>
      <c r="I6" s="9">
        <v>7</v>
      </c>
      <c r="J6" s="9">
        <v>8</v>
      </c>
      <c r="K6" s="9">
        <v>9</v>
      </c>
      <c r="L6" s="9">
        <v>10</v>
      </c>
      <c r="M6" s="9">
        <v>11</v>
      </c>
      <c r="N6" s="9">
        <v>12</v>
      </c>
      <c r="O6" s="9">
        <v>13</v>
      </c>
      <c r="P6" s="9">
        <v>14</v>
      </c>
      <c r="Q6" s="9">
        <v>15</v>
      </c>
      <c r="R6" s="9">
        <v>16</v>
      </c>
      <c r="S6" s="9">
        <v>17</v>
      </c>
      <c r="T6" s="9">
        <v>18</v>
      </c>
      <c r="U6" s="9">
        <v>19</v>
      </c>
      <c r="V6" s="9">
        <v>20</v>
      </c>
    </row>
    <row r="7" spans="1:25" x14ac:dyDescent="0.3">
      <c r="B7" s="9">
        <v>1</v>
      </c>
      <c r="C7" s="2">
        <v>0</v>
      </c>
      <c r="D7" s="2"/>
      <c r="E7" s="2">
        <v>39.857298135757446</v>
      </c>
      <c r="F7" s="2">
        <v>51.893478631973267</v>
      </c>
      <c r="G7" s="2">
        <v>58.560091257095337</v>
      </c>
      <c r="H7" s="2"/>
      <c r="I7" s="2">
        <v>82.542425394058228</v>
      </c>
      <c r="J7" s="2">
        <v>17.143303155899048</v>
      </c>
      <c r="K7" s="2">
        <v>80.944925546646118</v>
      </c>
      <c r="L7" s="2">
        <v>11.496120691299438</v>
      </c>
      <c r="M7" s="2"/>
      <c r="N7" s="2">
        <v>80.855041742324829</v>
      </c>
      <c r="O7" s="2">
        <v>2.5729238986968994</v>
      </c>
      <c r="P7" s="2"/>
      <c r="Q7" s="2">
        <v>89.07967209815979</v>
      </c>
      <c r="R7" s="2">
        <v>96.15369439125061</v>
      </c>
      <c r="S7" s="2"/>
      <c r="T7" s="2"/>
      <c r="U7" s="2">
        <v>59.181791543960571</v>
      </c>
      <c r="V7" s="2"/>
      <c r="X7" s="36">
        <f>SUM(C7:V7)</f>
        <v>670.28076648712158</v>
      </c>
      <c r="Y7" s="37">
        <f>COUNTIFS(C7:V7,"&gt;0")</f>
        <v>12</v>
      </c>
    </row>
    <row r="8" spans="1:25" x14ac:dyDescent="0.3">
      <c r="B8" s="9">
        <v>2</v>
      </c>
      <c r="C8" s="2"/>
      <c r="D8" s="2">
        <v>0</v>
      </c>
      <c r="E8" s="2">
        <v>67.685526609420776</v>
      </c>
      <c r="F8" s="2"/>
      <c r="G8" s="2">
        <v>79.174727201461792</v>
      </c>
      <c r="H8" s="2">
        <v>5.0571143627166748</v>
      </c>
      <c r="I8" s="2"/>
      <c r="J8" s="2"/>
      <c r="K8" s="2">
        <v>54.466360807418823</v>
      </c>
      <c r="L8" s="2"/>
      <c r="M8" s="2">
        <v>87.800043821334839</v>
      </c>
      <c r="N8" s="2"/>
      <c r="O8" s="2">
        <v>72.946470975875854</v>
      </c>
      <c r="P8" s="2">
        <v>19.055908918380737</v>
      </c>
      <c r="Q8" s="2"/>
      <c r="R8" s="2"/>
      <c r="S8" s="2">
        <v>12.740057706832886</v>
      </c>
      <c r="T8" s="2">
        <v>67.009896039962769</v>
      </c>
      <c r="U8" s="2"/>
      <c r="V8" s="2">
        <v>51.030224561691284</v>
      </c>
      <c r="X8" s="36">
        <f t="shared" ref="X8:X26" si="0">SUM(C8:V8)</f>
        <v>516.96633100509644</v>
      </c>
      <c r="Y8" s="37">
        <f t="shared" ref="Y8:Y26" si="1">COUNTIFS(C8:V8,"&gt;0")</f>
        <v>10</v>
      </c>
    </row>
    <row r="9" spans="1:25" x14ac:dyDescent="0.3">
      <c r="B9" s="9">
        <v>3</v>
      </c>
      <c r="C9" s="2">
        <v>39.857298135757446</v>
      </c>
      <c r="D9" s="2">
        <v>67.685526609420776</v>
      </c>
      <c r="E9" s="2">
        <v>0</v>
      </c>
      <c r="F9" s="2">
        <v>39.676648378372192</v>
      </c>
      <c r="G9" s="2">
        <v>33.773833513259888</v>
      </c>
      <c r="H9" s="2">
        <v>59.391099214553833</v>
      </c>
      <c r="I9" s="2"/>
      <c r="J9" s="2"/>
      <c r="K9" s="2">
        <v>75.851660966873169</v>
      </c>
      <c r="L9" s="2"/>
      <c r="M9" s="2">
        <v>51.83137059211731</v>
      </c>
      <c r="N9" s="2"/>
      <c r="O9" s="2"/>
      <c r="P9" s="2"/>
      <c r="Q9" s="2"/>
      <c r="R9" s="2">
        <v>36.472874879837036</v>
      </c>
      <c r="S9" s="2">
        <v>79.221183061599731</v>
      </c>
      <c r="T9" s="2">
        <v>47.825509309768677</v>
      </c>
      <c r="U9" s="2">
        <v>22.803431749343872</v>
      </c>
      <c r="V9" s="2"/>
      <c r="X9" s="36">
        <f t="shared" si="0"/>
        <v>554.39043641090393</v>
      </c>
      <c r="Y9" s="37">
        <f t="shared" si="1"/>
        <v>11</v>
      </c>
    </row>
    <row r="10" spans="1:25" x14ac:dyDescent="0.3">
      <c r="B10" s="9">
        <v>4</v>
      </c>
      <c r="C10" s="2">
        <v>51.893478631973267</v>
      </c>
      <c r="D10" s="2"/>
      <c r="E10" s="2">
        <v>39.676648378372192</v>
      </c>
      <c r="F10" s="2">
        <v>0</v>
      </c>
      <c r="G10" s="2">
        <v>96.772235631942749</v>
      </c>
      <c r="H10" s="2"/>
      <c r="I10" s="2">
        <v>56.261008977890015</v>
      </c>
      <c r="J10" s="2"/>
      <c r="K10" s="2">
        <v>55.55080771446228</v>
      </c>
      <c r="L10" s="2"/>
      <c r="M10" s="2">
        <v>23.157256841659546</v>
      </c>
      <c r="N10" s="2"/>
      <c r="O10" s="2">
        <v>12.595981359481812</v>
      </c>
      <c r="P10" s="2"/>
      <c r="Q10" s="2">
        <v>2.3826062679290771</v>
      </c>
      <c r="R10" s="2">
        <v>80.340951681137085</v>
      </c>
      <c r="S10" s="2">
        <v>96.032756567001343</v>
      </c>
      <c r="T10" s="2">
        <v>35.053724050521851</v>
      </c>
      <c r="U10" s="2"/>
      <c r="V10" s="2"/>
      <c r="X10" s="36">
        <f t="shared" si="0"/>
        <v>549.71745610237122</v>
      </c>
      <c r="Y10" s="37">
        <f t="shared" si="1"/>
        <v>11</v>
      </c>
    </row>
    <row r="11" spans="1:25" x14ac:dyDescent="0.3">
      <c r="B11" s="9">
        <v>5</v>
      </c>
      <c r="C11" s="2">
        <v>58.560091257095337</v>
      </c>
      <c r="D11" s="2">
        <v>79.174727201461792</v>
      </c>
      <c r="E11" s="2">
        <v>33.773833513259888</v>
      </c>
      <c r="F11" s="2">
        <v>96.772235631942749</v>
      </c>
      <c r="G11" s="2">
        <v>0</v>
      </c>
      <c r="H11" s="2">
        <v>46.690946817398071</v>
      </c>
      <c r="I11" s="2">
        <v>22.716385126113892</v>
      </c>
      <c r="J11" s="2"/>
      <c r="K11" s="2"/>
      <c r="L11" s="2"/>
      <c r="M11" s="2">
        <v>70.485740900039673</v>
      </c>
      <c r="N11" s="2"/>
      <c r="O11" s="2"/>
      <c r="P11" s="2">
        <v>1.0309278964996338</v>
      </c>
      <c r="Q11" s="2"/>
      <c r="R11" s="2">
        <v>43.830400705337524</v>
      </c>
      <c r="S11" s="2">
        <v>63.669925928115845</v>
      </c>
      <c r="T11" s="2"/>
      <c r="U11" s="2"/>
      <c r="V11" s="2"/>
      <c r="X11" s="36">
        <f t="shared" si="0"/>
        <v>516.7052149772644</v>
      </c>
      <c r="Y11" s="37">
        <f t="shared" si="1"/>
        <v>10</v>
      </c>
    </row>
    <row r="12" spans="1:25" x14ac:dyDescent="0.3">
      <c r="B12" s="9">
        <v>6</v>
      </c>
      <c r="C12" s="2"/>
      <c r="D12" s="2">
        <v>5.0571143627166748</v>
      </c>
      <c r="E12" s="2">
        <v>59.391099214553833</v>
      </c>
      <c r="F12" s="2"/>
      <c r="G12" s="2">
        <v>46.690946817398071</v>
      </c>
      <c r="H12" s="2">
        <v>0</v>
      </c>
      <c r="I12" s="2">
        <v>53.749340772628784</v>
      </c>
      <c r="J12" s="2"/>
      <c r="K12" s="2"/>
      <c r="L12" s="2">
        <v>78.295916318893433</v>
      </c>
      <c r="M12" s="2"/>
      <c r="N12" s="2"/>
      <c r="O12" s="2"/>
      <c r="P12" s="2"/>
      <c r="Q12" s="2"/>
      <c r="R12" s="2"/>
      <c r="S12" s="2">
        <v>69.401520490646362</v>
      </c>
      <c r="T12" s="2"/>
      <c r="U12" s="2"/>
      <c r="V12" s="2">
        <v>56.420630216598511</v>
      </c>
      <c r="X12" s="36">
        <f t="shared" si="0"/>
        <v>369.00656819343567</v>
      </c>
      <c r="Y12" s="37">
        <f t="shared" si="1"/>
        <v>7</v>
      </c>
    </row>
    <row r="13" spans="1:25" x14ac:dyDescent="0.3">
      <c r="B13" s="9">
        <v>7</v>
      </c>
      <c r="C13" s="2">
        <v>82.542425394058228</v>
      </c>
      <c r="D13" s="2"/>
      <c r="E13" s="2"/>
      <c r="F13" s="2">
        <v>56.261008977890015</v>
      </c>
      <c r="G13" s="2">
        <v>22.716385126113892</v>
      </c>
      <c r="H13" s="2">
        <v>53.749340772628784</v>
      </c>
      <c r="I13" s="2">
        <v>0</v>
      </c>
      <c r="J13" s="2"/>
      <c r="K13" s="2">
        <v>20.900040864944458</v>
      </c>
      <c r="L13" s="2"/>
      <c r="M13" s="2"/>
      <c r="N13" s="2"/>
      <c r="O13" s="2"/>
      <c r="P13" s="2">
        <v>57.895976305007935</v>
      </c>
      <c r="Q13" s="2"/>
      <c r="R13" s="2">
        <v>1.6063988208770752</v>
      </c>
      <c r="S13" s="2">
        <v>43.959504365921021</v>
      </c>
      <c r="T13" s="2">
        <v>90.147143602371216</v>
      </c>
      <c r="U13" s="2">
        <v>15.999394655227661</v>
      </c>
      <c r="V13" s="2">
        <v>23.908835649490356</v>
      </c>
      <c r="X13" s="36">
        <f t="shared" si="0"/>
        <v>469.68645453453064</v>
      </c>
      <c r="Y13" s="37">
        <f t="shared" si="1"/>
        <v>11</v>
      </c>
    </row>
    <row r="14" spans="1:25" x14ac:dyDescent="0.3">
      <c r="B14" s="9">
        <v>8</v>
      </c>
      <c r="C14" s="2">
        <v>17.143303155899048</v>
      </c>
      <c r="D14" s="2"/>
      <c r="E14" s="2"/>
      <c r="F14" s="2"/>
      <c r="G14" s="2"/>
      <c r="H14" s="2"/>
      <c r="I14" s="2"/>
      <c r="J14" s="2">
        <v>0</v>
      </c>
      <c r="K14" s="2"/>
      <c r="L14" s="2"/>
      <c r="M14" s="2">
        <v>55.121606588363647</v>
      </c>
      <c r="N14" s="2"/>
      <c r="O14" s="2"/>
      <c r="P14" s="2"/>
      <c r="Q14" s="2"/>
      <c r="R14" s="2"/>
      <c r="S14" s="2">
        <v>71.744054555892944</v>
      </c>
      <c r="T14" s="2"/>
      <c r="U14" s="2"/>
      <c r="V14" s="2"/>
      <c r="X14" s="36">
        <f t="shared" si="0"/>
        <v>144.00896430015564</v>
      </c>
      <c r="Y14" s="37">
        <f t="shared" si="1"/>
        <v>3</v>
      </c>
    </row>
    <row r="15" spans="1:25" x14ac:dyDescent="0.3">
      <c r="B15" s="9">
        <v>9</v>
      </c>
      <c r="C15" s="2">
        <v>80.944925546646118</v>
      </c>
      <c r="D15" s="2">
        <v>54.466360807418823</v>
      </c>
      <c r="E15" s="2">
        <v>75.851660966873169</v>
      </c>
      <c r="F15" s="2">
        <v>55.55080771446228</v>
      </c>
      <c r="G15" s="2"/>
      <c r="H15" s="2"/>
      <c r="I15" s="2">
        <v>20.900040864944458</v>
      </c>
      <c r="J15" s="2"/>
      <c r="K15" s="2">
        <v>0</v>
      </c>
      <c r="L15" s="2">
        <v>34.554916620254517</v>
      </c>
      <c r="M15" s="2"/>
      <c r="N15" s="2">
        <v>90.711933374404907</v>
      </c>
      <c r="O15" s="2">
        <v>58.514410257339478</v>
      </c>
      <c r="P15" s="2">
        <v>14.843803644180298</v>
      </c>
      <c r="Q15" s="2"/>
      <c r="R15" s="2"/>
      <c r="S15" s="2"/>
      <c r="T15" s="2"/>
      <c r="U15" s="2">
        <v>38.603502511978149</v>
      </c>
      <c r="V15" s="2">
        <v>36.49478554725647</v>
      </c>
      <c r="X15" s="36">
        <f t="shared" si="0"/>
        <v>561.43714785575867</v>
      </c>
      <c r="Y15" s="37">
        <f t="shared" si="1"/>
        <v>11</v>
      </c>
    </row>
    <row r="16" spans="1:25" x14ac:dyDescent="0.3">
      <c r="B16" s="9">
        <v>10</v>
      </c>
      <c r="C16" s="2">
        <v>11.496120691299438</v>
      </c>
      <c r="D16" s="2"/>
      <c r="E16" s="2"/>
      <c r="F16" s="2"/>
      <c r="G16" s="2"/>
      <c r="H16" s="2">
        <v>78.295916318893433</v>
      </c>
      <c r="I16" s="2"/>
      <c r="J16" s="2"/>
      <c r="K16" s="2">
        <v>34.554916620254517</v>
      </c>
      <c r="L16" s="2">
        <v>0</v>
      </c>
      <c r="M16" s="2"/>
      <c r="N16" s="2">
        <v>79.185837507247925</v>
      </c>
      <c r="O16" s="2"/>
      <c r="P16" s="2">
        <v>83.28673243522644</v>
      </c>
      <c r="Q16" s="2"/>
      <c r="R16" s="2"/>
      <c r="S16" s="2"/>
      <c r="T16" s="2"/>
      <c r="U16" s="2">
        <v>75.346678495407104</v>
      </c>
      <c r="V16" s="2">
        <v>13.887757062911987</v>
      </c>
      <c r="X16" s="36">
        <f t="shared" si="0"/>
        <v>376.05395913124084</v>
      </c>
      <c r="Y16" s="37">
        <f t="shared" si="1"/>
        <v>7</v>
      </c>
    </row>
    <row r="17" spans="2:26" x14ac:dyDescent="0.3">
      <c r="B17" s="9">
        <v>11</v>
      </c>
      <c r="C17" s="2"/>
      <c r="D17" s="2">
        <v>87.800043821334839</v>
      </c>
      <c r="E17" s="2">
        <v>51.83137059211731</v>
      </c>
      <c r="F17" s="2">
        <v>23.157256841659546</v>
      </c>
      <c r="G17" s="2">
        <v>70.485740900039673</v>
      </c>
      <c r="H17" s="2"/>
      <c r="I17" s="2"/>
      <c r="J17" s="2">
        <v>55.121606588363647</v>
      </c>
      <c r="K17" s="2"/>
      <c r="L17" s="2"/>
      <c r="M17" s="2">
        <v>0</v>
      </c>
      <c r="N17" s="2"/>
      <c r="O17" s="2"/>
      <c r="P17" s="2">
        <v>48.809224367141724</v>
      </c>
      <c r="Q17" s="2"/>
      <c r="R17" s="2">
        <v>11.797600984573364</v>
      </c>
      <c r="S17" s="2">
        <v>73.72620701789856</v>
      </c>
      <c r="T17" s="2"/>
      <c r="U17" s="2">
        <v>81.3526451587677</v>
      </c>
      <c r="V17" s="2"/>
      <c r="X17" s="36">
        <f t="shared" si="0"/>
        <v>504.08169627189636</v>
      </c>
      <c r="Y17" s="37">
        <f t="shared" si="1"/>
        <v>9</v>
      </c>
    </row>
    <row r="18" spans="2:26" x14ac:dyDescent="0.3">
      <c r="B18" s="9">
        <v>12</v>
      </c>
      <c r="C18" s="2">
        <v>80.855041742324829</v>
      </c>
      <c r="D18" s="2"/>
      <c r="E18" s="2"/>
      <c r="F18" s="2"/>
      <c r="G18" s="2"/>
      <c r="H18" s="2"/>
      <c r="I18" s="2"/>
      <c r="J18" s="2"/>
      <c r="K18" s="2">
        <v>90.711933374404907</v>
      </c>
      <c r="L18" s="2">
        <v>79.185837507247925</v>
      </c>
      <c r="M18" s="2"/>
      <c r="N18" s="2">
        <v>0</v>
      </c>
      <c r="O18" s="2">
        <v>24.212974309921265</v>
      </c>
      <c r="P18" s="2">
        <v>34.336847066879272</v>
      </c>
      <c r="Q18" s="2">
        <v>86.49105429649353</v>
      </c>
      <c r="R18" s="2">
        <v>3.7712991237640381</v>
      </c>
      <c r="S18" s="2"/>
      <c r="T18" s="2">
        <v>71.405214071273804</v>
      </c>
      <c r="U18" s="2"/>
      <c r="V18" s="2">
        <v>3.2542169094085693</v>
      </c>
      <c r="X18" s="36">
        <f t="shared" si="0"/>
        <v>474.22441840171814</v>
      </c>
      <c r="Y18" s="37">
        <f t="shared" si="1"/>
        <v>9</v>
      </c>
    </row>
    <row r="19" spans="2:26" x14ac:dyDescent="0.3">
      <c r="B19" s="9">
        <v>13</v>
      </c>
      <c r="C19" s="2">
        <v>2.5729238986968994</v>
      </c>
      <c r="D19" s="2">
        <v>72.946470975875854</v>
      </c>
      <c r="E19" s="2"/>
      <c r="F19" s="2">
        <v>12.595981359481812</v>
      </c>
      <c r="G19" s="2"/>
      <c r="H19" s="2"/>
      <c r="I19" s="2"/>
      <c r="J19" s="2"/>
      <c r="K19" s="2">
        <v>58.514410257339478</v>
      </c>
      <c r="L19" s="2"/>
      <c r="M19" s="2"/>
      <c r="N19" s="2">
        <v>24.212974309921265</v>
      </c>
      <c r="O19" s="2">
        <v>0</v>
      </c>
      <c r="P19" s="2">
        <v>16.512209177017212</v>
      </c>
      <c r="Q19" s="2"/>
      <c r="R19" s="2">
        <v>64.273840188980103</v>
      </c>
      <c r="S19" s="2"/>
      <c r="T19" s="2"/>
      <c r="U19" s="2">
        <v>1.1621057987213135</v>
      </c>
      <c r="V19" s="2"/>
      <c r="X19" s="36">
        <f t="shared" si="0"/>
        <v>252.79091596603394</v>
      </c>
      <c r="Y19" s="37">
        <f t="shared" si="1"/>
        <v>8</v>
      </c>
    </row>
    <row r="20" spans="2:26" x14ac:dyDescent="0.3">
      <c r="B20" s="9">
        <v>14</v>
      </c>
      <c r="C20" s="2"/>
      <c r="D20" s="2">
        <v>19.055908918380737</v>
      </c>
      <c r="E20" s="2"/>
      <c r="F20" s="2"/>
      <c r="G20" s="2">
        <v>1.0309278964996338</v>
      </c>
      <c r="H20" s="2"/>
      <c r="I20" s="2">
        <v>57.895976305007935</v>
      </c>
      <c r="J20" s="2"/>
      <c r="K20" s="2">
        <v>14.843803644180298</v>
      </c>
      <c r="L20" s="2">
        <v>83.28673243522644</v>
      </c>
      <c r="M20" s="2">
        <v>48.809224367141724</v>
      </c>
      <c r="N20" s="2">
        <v>34.336847066879272</v>
      </c>
      <c r="O20" s="2">
        <v>16.512209177017212</v>
      </c>
      <c r="P20" s="2">
        <v>0</v>
      </c>
      <c r="Q20" s="2">
        <v>7.4611365795135498</v>
      </c>
      <c r="R20" s="2"/>
      <c r="S20" s="2">
        <v>90.712422132492065</v>
      </c>
      <c r="T20" s="2">
        <v>68.125265836715698</v>
      </c>
      <c r="U20" s="2">
        <v>98.628014326095581</v>
      </c>
      <c r="V20" s="2"/>
      <c r="X20" s="36">
        <f t="shared" si="0"/>
        <v>540.69846868515015</v>
      </c>
      <c r="Y20" s="37">
        <f t="shared" si="1"/>
        <v>12</v>
      </c>
    </row>
    <row r="21" spans="2:26" x14ac:dyDescent="0.3">
      <c r="B21" s="9">
        <v>15</v>
      </c>
      <c r="C21" s="2">
        <v>89.07967209815979</v>
      </c>
      <c r="D21" s="2"/>
      <c r="E21" s="2"/>
      <c r="F21" s="2">
        <v>2.3826062679290771</v>
      </c>
      <c r="G21" s="2"/>
      <c r="H21" s="2"/>
      <c r="I21" s="2"/>
      <c r="J21" s="2"/>
      <c r="K21" s="2"/>
      <c r="L21" s="2"/>
      <c r="M21" s="2"/>
      <c r="N21" s="2">
        <v>86.49105429649353</v>
      </c>
      <c r="O21" s="2"/>
      <c r="P21" s="2">
        <v>7.4611365795135498</v>
      </c>
      <c r="Q21" s="2">
        <v>0</v>
      </c>
      <c r="R21" s="2"/>
      <c r="S21" s="2"/>
      <c r="T21" s="2">
        <v>53.469306230545044</v>
      </c>
      <c r="U21" s="2">
        <v>33.169823884963989</v>
      </c>
      <c r="V21" s="2"/>
      <c r="X21" s="36">
        <f t="shared" si="0"/>
        <v>272.05359935760498</v>
      </c>
      <c r="Y21" s="37">
        <f t="shared" si="1"/>
        <v>6</v>
      </c>
    </row>
    <row r="22" spans="2:26" x14ac:dyDescent="0.3">
      <c r="B22" s="9">
        <v>16</v>
      </c>
      <c r="C22" s="2">
        <v>96.15369439125061</v>
      </c>
      <c r="D22" s="2"/>
      <c r="E22" s="2">
        <v>36.472874879837036</v>
      </c>
      <c r="F22" s="2">
        <v>80.340951681137085</v>
      </c>
      <c r="G22" s="2">
        <v>43.830400705337524</v>
      </c>
      <c r="H22" s="2"/>
      <c r="I22" s="2">
        <v>1.6063988208770752</v>
      </c>
      <c r="J22" s="2"/>
      <c r="K22" s="2"/>
      <c r="L22" s="2"/>
      <c r="M22" s="2">
        <v>11.797600984573364</v>
      </c>
      <c r="N22" s="2">
        <v>3.7712991237640381</v>
      </c>
      <c r="O22" s="2">
        <v>64.273840188980103</v>
      </c>
      <c r="P22" s="2"/>
      <c r="Q22" s="2"/>
      <c r="R22" s="2">
        <v>0</v>
      </c>
      <c r="S22" s="2"/>
      <c r="T22" s="2"/>
      <c r="U22" s="2">
        <v>10.183805227279663</v>
      </c>
      <c r="V22" s="2"/>
      <c r="X22" s="36">
        <f t="shared" si="0"/>
        <v>348.4308660030365</v>
      </c>
      <c r="Y22" s="37">
        <f t="shared" si="1"/>
        <v>9</v>
      </c>
    </row>
    <row r="23" spans="2:26" x14ac:dyDescent="0.3">
      <c r="B23" s="9">
        <v>17</v>
      </c>
      <c r="C23" s="2"/>
      <c r="D23" s="2">
        <v>12.740057706832886</v>
      </c>
      <c r="E23" s="2">
        <v>79.221183061599731</v>
      </c>
      <c r="F23" s="2">
        <v>96.032756567001343</v>
      </c>
      <c r="G23" s="2">
        <v>63.669925928115845</v>
      </c>
      <c r="H23" s="2">
        <v>69.401520490646362</v>
      </c>
      <c r="I23" s="2">
        <v>43.959504365921021</v>
      </c>
      <c r="J23" s="2">
        <v>71.744054555892944</v>
      </c>
      <c r="K23" s="2"/>
      <c r="L23" s="2"/>
      <c r="M23" s="2">
        <v>73.72620701789856</v>
      </c>
      <c r="N23" s="2"/>
      <c r="O23" s="2"/>
      <c r="P23" s="2">
        <v>90.712422132492065</v>
      </c>
      <c r="Q23" s="2"/>
      <c r="R23" s="2"/>
      <c r="S23" s="2">
        <v>0</v>
      </c>
      <c r="T23" s="2">
        <v>54.330402612686157</v>
      </c>
      <c r="U23" s="2"/>
      <c r="V23" s="2">
        <v>76.606804132461548</v>
      </c>
      <c r="X23" s="36">
        <f t="shared" si="0"/>
        <v>732.14483857154846</v>
      </c>
      <c r="Y23" s="37">
        <f t="shared" si="1"/>
        <v>11</v>
      </c>
    </row>
    <row r="24" spans="2:26" x14ac:dyDescent="0.3">
      <c r="B24" s="9">
        <v>18</v>
      </c>
      <c r="C24" s="2"/>
      <c r="D24" s="2">
        <v>67.009896039962769</v>
      </c>
      <c r="E24" s="2">
        <v>47.825509309768677</v>
      </c>
      <c r="F24" s="2">
        <v>35.053724050521851</v>
      </c>
      <c r="G24" s="2"/>
      <c r="H24" s="2"/>
      <c r="I24" s="2">
        <v>90.147143602371216</v>
      </c>
      <c r="J24" s="2"/>
      <c r="K24" s="2"/>
      <c r="L24" s="2"/>
      <c r="M24" s="2"/>
      <c r="N24" s="2">
        <v>71.405214071273804</v>
      </c>
      <c r="O24" s="2"/>
      <c r="P24" s="2">
        <v>68.125265836715698</v>
      </c>
      <c r="Q24" s="2">
        <v>53.469306230545044</v>
      </c>
      <c r="R24" s="2"/>
      <c r="S24" s="2">
        <v>54.330402612686157</v>
      </c>
      <c r="T24" s="2">
        <v>0</v>
      </c>
      <c r="U24" s="2"/>
      <c r="V24" s="2"/>
      <c r="X24" s="36">
        <f t="shared" si="0"/>
        <v>487.36646175384521</v>
      </c>
      <c r="Y24" s="37">
        <f t="shared" si="1"/>
        <v>8</v>
      </c>
    </row>
    <row r="25" spans="2:26" x14ac:dyDescent="0.3">
      <c r="B25" s="9">
        <v>19</v>
      </c>
      <c r="C25" s="2">
        <v>59.181791543960571</v>
      </c>
      <c r="D25" s="2"/>
      <c r="E25" s="2">
        <v>22.803431749343872</v>
      </c>
      <c r="F25" s="2"/>
      <c r="G25" s="2"/>
      <c r="H25" s="2"/>
      <c r="I25" s="2">
        <v>15.999394655227661</v>
      </c>
      <c r="J25" s="2"/>
      <c r="K25" s="2">
        <v>38.603502511978149</v>
      </c>
      <c r="L25" s="2">
        <v>75.346678495407104</v>
      </c>
      <c r="M25" s="2">
        <v>81.3526451587677</v>
      </c>
      <c r="N25" s="2"/>
      <c r="O25" s="2">
        <v>1.1621057987213135</v>
      </c>
      <c r="P25" s="2">
        <v>98.628014326095581</v>
      </c>
      <c r="Q25" s="2">
        <v>33.169823884963989</v>
      </c>
      <c r="R25" s="2">
        <v>10.183805227279663</v>
      </c>
      <c r="S25" s="2"/>
      <c r="T25" s="2"/>
      <c r="U25" s="2">
        <v>0</v>
      </c>
      <c r="V25" s="2"/>
      <c r="X25" s="36">
        <f t="shared" si="0"/>
        <v>436.43119335174561</v>
      </c>
      <c r="Y25" s="37">
        <f t="shared" si="1"/>
        <v>10</v>
      </c>
    </row>
    <row r="26" spans="2:26" x14ac:dyDescent="0.3">
      <c r="B26" s="9">
        <v>20</v>
      </c>
      <c r="C26" s="2"/>
      <c r="D26" s="2">
        <v>51.030224561691284</v>
      </c>
      <c r="E26" s="2"/>
      <c r="F26" s="2"/>
      <c r="G26" s="2"/>
      <c r="H26" s="2">
        <v>56.420630216598511</v>
      </c>
      <c r="I26" s="2">
        <v>23.908835649490356</v>
      </c>
      <c r="J26" s="2"/>
      <c r="K26" s="2">
        <v>36.49478554725647</v>
      </c>
      <c r="L26" s="2">
        <v>13.887757062911987</v>
      </c>
      <c r="M26" s="2"/>
      <c r="N26" s="2">
        <v>3.2542169094085693</v>
      </c>
      <c r="O26" s="2"/>
      <c r="P26" s="2"/>
      <c r="Q26" s="2"/>
      <c r="R26" s="2"/>
      <c r="S26" s="2">
        <v>76.606804132461548</v>
      </c>
      <c r="T26" s="2"/>
      <c r="U26" s="2"/>
      <c r="V26" s="2">
        <v>0</v>
      </c>
      <c r="X26" s="36">
        <f t="shared" si="0"/>
        <v>261.60325407981873</v>
      </c>
      <c r="Y26" s="37">
        <f t="shared" si="1"/>
        <v>7</v>
      </c>
    </row>
    <row r="28" spans="2:26" x14ac:dyDescent="0.3">
      <c r="C28" s="38">
        <f>SUM(C7:C26)</f>
        <v>670.28076648712158</v>
      </c>
      <c r="D28" s="38">
        <f t="shared" ref="D28:V28" si="2">SUM(D7:D26)</f>
        <v>516.96633100509644</v>
      </c>
      <c r="E28" s="38">
        <f t="shared" si="2"/>
        <v>554.39043641090393</v>
      </c>
      <c r="F28" s="38">
        <f t="shared" si="2"/>
        <v>549.71745610237122</v>
      </c>
      <c r="G28" s="38">
        <f t="shared" si="2"/>
        <v>516.7052149772644</v>
      </c>
      <c r="H28" s="38">
        <f t="shared" si="2"/>
        <v>369.00656819343567</v>
      </c>
      <c r="I28" s="38">
        <f t="shared" si="2"/>
        <v>469.68645453453064</v>
      </c>
      <c r="J28" s="38">
        <f t="shared" si="2"/>
        <v>144.00896430015564</v>
      </c>
      <c r="K28" s="38">
        <f t="shared" si="2"/>
        <v>561.43714785575867</v>
      </c>
      <c r="L28" s="38">
        <f t="shared" si="2"/>
        <v>376.05395913124084</v>
      </c>
      <c r="M28" s="38">
        <f t="shared" si="2"/>
        <v>504.08169627189636</v>
      </c>
      <c r="N28" s="38">
        <f t="shared" si="2"/>
        <v>474.22441840171814</v>
      </c>
      <c r="O28" s="38">
        <f t="shared" si="2"/>
        <v>252.79091596603394</v>
      </c>
      <c r="P28" s="38">
        <f t="shared" si="2"/>
        <v>540.69846868515015</v>
      </c>
      <c r="Q28" s="38">
        <f t="shared" si="2"/>
        <v>272.05359935760498</v>
      </c>
      <c r="R28" s="38">
        <f t="shared" si="2"/>
        <v>348.4308660030365</v>
      </c>
      <c r="S28" s="38">
        <f t="shared" si="2"/>
        <v>732.14483857154846</v>
      </c>
      <c r="T28" s="38">
        <f t="shared" si="2"/>
        <v>487.36646175384521</v>
      </c>
      <c r="U28" s="38">
        <f>SUM(U7:U26)</f>
        <v>436.43119335174561</v>
      </c>
      <c r="V28" s="38">
        <f t="shared" si="2"/>
        <v>261.60325407981873</v>
      </c>
      <c r="X28" s="36">
        <f>COUNTIFS(X7:X26,0)</f>
        <v>0</v>
      </c>
      <c r="Y28" s="37">
        <f>SUM(Y7:Y26)</f>
        <v>182</v>
      </c>
      <c r="Z28" s="39">
        <f>(B4*B4-3*B4+4)/2</f>
        <v>172</v>
      </c>
    </row>
    <row r="31" spans="2:26" x14ac:dyDescent="0.3">
      <c r="X31" s="32">
        <f>SUM(C7:V26)</f>
        <v>9038.0790114402771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Button 1">
              <controlPr defaultSize="0" print="0" autoFill="0" autoPict="0" macro="[0]!Matrix">
                <anchor moveWithCells="1" sizeWithCells="1">
                  <from>
                    <xdr:col>24</xdr:col>
                    <xdr:colOff>403860</xdr:colOff>
                    <xdr:row>2</xdr:row>
                    <xdr:rowOff>30480</xdr:rowOff>
                  </from>
                  <to>
                    <xdr:col>25</xdr:col>
                    <xdr:colOff>601980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Лист2"/>
  <dimension ref="A1:AB32"/>
  <sheetViews>
    <sheetView workbookViewId="0">
      <selection activeCell="F35" sqref="F35"/>
    </sheetView>
  </sheetViews>
  <sheetFormatPr defaultRowHeight="14.4" x14ac:dyDescent="0.3"/>
  <cols>
    <col min="5" max="5" width="10.109375" customWidth="1"/>
    <col min="6" max="6" width="9.6640625" customWidth="1"/>
    <col min="7" max="26" width="5.109375" customWidth="1"/>
    <col min="27" max="27" width="5.5546875" customWidth="1"/>
  </cols>
  <sheetData>
    <row r="1" spans="1:27" x14ac:dyDescent="0.3">
      <c r="A1" s="1" t="s">
        <v>18</v>
      </c>
    </row>
    <row r="2" spans="1:27" ht="15" thickBot="1" x14ac:dyDescent="0.35"/>
    <row r="3" spans="1:27" ht="15" thickBot="1" x14ac:dyDescent="0.35">
      <c r="A3" s="4" t="s">
        <v>0</v>
      </c>
      <c r="B3" s="6">
        <v>20</v>
      </c>
      <c r="C3" t="s">
        <v>14</v>
      </c>
      <c r="D3" s="27" t="s">
        <v>10</v>
      </c>
      <c r="E3" s="6">
        <v>200</v>
      </c>
      <c r="F3" t="s">
        <v>12</v>
      </c>
    </row>
    <row r="4" spans="1:27" ht="15" thickBot="1" x14ac:dyDescent="0.35">
      <c r="A4" s="4" t="s">
        <v>1</v>
      </c>
      <c r="B4" s="6">
        <v>0.1</v>
      </c>
      <c r="C4" t="s">
        <v>15</v>
      </c>
      <c r="D4" s="27" t="s">
        <v>11</v>
      </c>
      <c r="E4" s="28">
        <v>5.0000000000000001E-3</v>
      </c>
      <c r="F4" t="s">
        <v>13</v>
      </c>
    </row>
    <row r="5" spans="1:27" ht="15" thickBot="1" x14ac:dyDescent="0.35">
      <c r="A5" s="5" t="s">
        <v>2</v>
      </c>
      <c r="B5" s="7" t="s">
        <v>3</v>
      </c>
      <c r="C5" t="s">
        <v>16</v>
      </c>
      <c r="D5" s="27" t="s">
        <v>9</v>
      </c>
      <c r="E5" s="6">
        <v>85600</v>
      </c>
      <c r="F5" s="26" t="s">
        <v>23</v>
      </c>
    </row>
    <row r="7" spans="1:27" ht="15" thickBot="1" x14ac:dyDescent="0.35">
      <c r="A7" s="1" t="s">
        <v>4</v>
      </c>
      <c r="G7" s="1" t="s">
        <v>17</v>
      </c>
    </row>
    <row r="8" spans="1:27" ht="15" thickBot="1" x14ac:dyDescent="0.35">
      <c r="A8" s="12" t="s">
        <v>5</v>
      </c>
      <c r="B8" s="13" t="s">
        <v>6</v>
      </c>
      <c r="D8" s="44"/>
      <c r="H8" s="16">
        <v>1</v>
      </c>
      <c r="I8" s="20">
        <v>2</v>
      </c>
      <c r="J8" s="21">
        <v>3</v>
      </c>
      <c r="K8" s="21">
        <v>4</v>
      </c>
      <c r="L8" s="21">
        <v>5</v>
      </c>
      <c r="M8" s="21">
        <v>6</v>
      </c>
      <c r="N8" s="21">
        <v>7</v>
      </c>
      <c r="O8" s="21">
        <v>8</v>
      </c>
      <c r="P8" s="21">
        <v>9</v>
      </c>
      <c r="Q8" s="21">
        <v>10</v>
      </c>
      <c r="R8" s="21">
        <v>11</v>
      </c>
      <c r="S8" s="21">
        <v>12</v>
      </c>
      <c r="T8" s="21">
        <v>13</v>
      </c>
      <c r="U8" s="21">
        <v>14</v>
      </c>
      <c r="V8" s="21">
        <v>15</v>
      </c>
      <c r="W8" s="21">
        <v>16</v>
      </c>
      <c r="X8" s="21">
        <v>17</v>
      </c>
      <c r="Y8" s="21">
        <v>18</v>
      </c>
      <c r="Z8" s="21">
        <v>19</v>
      </c>
      <c r="AA8" s="22">
        <v>20</v>
      </c>
    </row>
    <row r="9" spans="1:27" x14ac:dyDescent="0.3">
      <c r="A9" s="8">
        <v>1</v>
      </c>
      <c r="B9" s="10">
        <v>2000</v>
      </c>
      <c r="D9" s="45"/>
      <c r="G9" s="23">
        <v>1</v>
      </c>
      <c r="H9" s="14">
        <v>0</v>
      </c>
      <c r="I9" s="3"/>
      <c r="J9" s="3"/>
      <c r="K9" s="3">
        <v>7.3953330516815186</v>
      </c>
      <c r="L9" s="3">
        <v>79.012888669967651</v>
      </c>
      <c r="M9" s="3">
        <v>49.521130323410034</v>
      </c>
      <c r="N9" s="3">
        <v>11.547011137008667</v>
      </c>
      <c r="O9" s="3">
        <v>21.77998423576355</v>
      </c>
      <c r="P9" s="3">
        <v>50.972002744674683</v>
      </c>
      <c r="Q9" s="3"/>
      <c r="R9" s="3">
        <v>19.553488492965698</v>
      </c>
      <c r="S9" s="3">
        <v>20.759361982345581</v>
      </c>
      <c r="T9" s="3"/>
      <c r="U9" s="3"/>
      <c r="V9" s="3"/>
      <c r="W9" s="3"/>
      <c r="X9" s="3">
        <v>97.893160581588745</v>
      </c>
      <c r="Y9" s="3"/>
      <c r="Z9" s="3">
        <v>5.7568728923797607</v>
      </c>
      <c r="AA9" s="3">
        <v>85.002297163009644</v>
      </c>
    </row>
    <row r="10" spans="1:27" x14ac:dyDescent="0.3">
      <c r="A10" s="9">
        <v>2</v>
      </c>
      <c r="B10" s="11">
        <v>1500</v>
      </c>
      <c r="D10" s="45"/>
      <c r="G10" s="17">
        <v>2</v>
      </c>
      <c r="H10" s="15"/>
      <c r="I10" s="2">
        <v>0</v>
      </c>
      <c r="J10" s="2"/>
      <c r="K10" s="2">
        <v>33.169442415237427</v>
      </c>
      <c r="L10" s="2">
        <v>23.528224229812622</v>
      </c>
      <c r="M10" s="2">
        <v>69.528180360794067</v>
      </c>
      <c r="N10" s="2"/>
      <c r="O10" s="2">
        <v>39.584428071975708</v>
      </c>
      <c r="P10" s="2">
        <v>10.613375902175903</v>
      </c>
      <c r="Q10" s="2"/>
      <c r="R10" s="2">
        <v>41.323310136795044</v>
      </c>
      <c r="S10" s="2">
        <v>57.351952791213989</v>
      </c>
      <c r="T10" s="2"/>
      <c r="U10" s="2"/>
      <c r="V10" s="2">
        <v>4.0310204029083252</v>
      </c>
      <c r="W10" s="2">
        <v>89.597016572952271</v>
      </c>
      <c r="X10" s="2">
        <v>61.810046434402466</v>
      </c>
      <c r="Y10" s="2">
        <v>46.500188112258911</v>
      </c>
      <c r="Z10" s="2">
        <v>96.060019731521606</v>
      </c>
      <c r="AA10" s="2"/>
    </row>
    <row r="11" spans="1:27" x14ac:dyDescent="0.3">
      <c r="A11" s="9">
        <v>3</v>
      </c>
      <c r="B11" s="11">
        <v>1300</v>
      </c>
      <c r="D11" s="45"/>
      <c r="G11" s="18">
        <v>3</v>
      </c>
      <c r="H11" s="15"/>
      <c r="I11" s="2"/>
      <c r="J11" s="2">
        <v>0</v>
      </c>
      <c r="K11" s="2"/>
      <c r="L11" s="2">
        <v>25.460189580917358</v>
      </c>
      <c r="M11" s="2"/>
      <c r="N11" s="2"/>
      <c r="O11" s="2">
        <v>50.337117910385132</v>
      </c>
      <c r="P11" s="2"/>
      <c r="Q11" s="2"/>
      <c r="R11" s="2">
        <v>61.983150243759155</v>
      </c>
      <c r="S11" s="2">
        <v>52.822965383529663</v>
      </c>
      <c r="T11" s="2">
        <v>74.853271245956421</v>
      </c>
      <c r="U11" s="2">
        <v>4.2947709560394287</v>
      </c>
      <c r="V11" s="2">
        <v>56.430667638778687</v>
      </c>
      <c r="W11" s="2"/>
      <c r="X11" s="2">
        <v>85.230964422225952</v>
      </c>
      <c r="Y11" s="2">
        <v>37.77427077293396</v>
      </c>
      <c r="Z11" s="2">
        <v>64.769786596298218</v>
      </c>
      <c r="AA11" s="2"/>
    </row>
    <row r="12" spans="1:27" x14ac:dyDescent="0.3">
      <c r="A12" s="9">
        <v>4</v>
      </c>
      <c r="B12" s="11">
        <v>6000</v>
      </c>
      <c r="D12" s="45"/>
      <c r="G12" s="18">
        <v>4</v>
      </c>
      <c r="H12" s="15">
        <v>7.3953330516815186</v>
      </c>
      <c r="I12" s="2">
        <v>33.169442415237427</v>
      </c>
      <c r="J12" s="2"/>
      <c r="K12" s="2">
        <v>0</v>
      </c>
      <c r="L12" s="2">
        <v>4.4933855533599854</v>
      </c>
      <c r="M12" s="2"/>
      <c r="N12" s="2">
        <v>21.673351526260376</v>
      </c>
      <c r="O12" s="2"/>
      <c r="P12" s="2">
        <v>49.796921014785767</v>
      </c>
      <c r="Q12" s="2">
        <v>95.623689889907837</v>
      </c>
      <c r="R12" s="2"/>
      <c r="S12" s="2">
        <v>57.301336526870728</v>
      </c>
      <c r="T12" s="2">
        <v>90.437370538711548</v>
      </c>
      <c r="U12" s="2">
        <v>5.8991491794586182</v>
      </c>
      <c r="V12" s="2"/>
      <c r="W12" s="2">
        <v>35.557752847671509</v>
      </c>
      <c r="X12" s="2">
        <v>79.539734125137329</v>
      </c>
      <c r="Y12" s="2">
        <v>65.417772531509399</v>
      </c>
      <c r="Z12" s="2">
        <v>36.99069619178772</v>
      </c>
      <c r="AA12" s="2"/>
    </row>
    <row r="13" spans="1:27" x14ac:dyDescent="0.3">
      <c r="A13" s="9">
        <v>5</v>
      </c>
      <c r="B13" s="11">
        <v>7000</v>
      </c>
      <c r="D13" s="45"/>
      <c r="G13" s="18">
        <v>5</v>
      </c>
      <c r="H13" s="15">
        <v>79.012888669967651</v>
      </c>
      <c r="I13" s="2">
        <v>23.528224229812622</v>
      </c>
      <c r="J13" s="2">
        <v>25.460189580917358</v>
      </c>
      <c r="K13" s="2">
        <v>4.4933855533599854</v>
      </c>
      <c r="L13" s="2">
        <v>0</v>
      </c>
      <c r="M13" s="2"/>
      <c r="N13" s="2"/>
      <c r="O13" s="2"/>
      <c r="P13" s="2">
        <v>89.661663770675659</v>
      </c>
      <c r="Q13" s="2">
        <v>93.997114896774292</v>
      </c>
      <c r="R13" s="2">
        <v>50.445908308029175</v>
      </c>
      <c r="S13" s="2">
        <v>54.759997129440308</v>
      </c>
      <c r="T13" s="2"/>
      <c r="U13" s="2"/>
      <c r="V13" s="2">
        <v>73.351067304611206</v>
      </c>
      <c r="W13" s="2"/>
      <c r="X13" s="2">
        <v>30.003231763839722</v>
      </c>
      <c r="Y13" s="2">
        <v>19.800108671188354</v>
      </c>
      <c r="Z13" s="2">
        <v>21.475952863693237</v>
      </c>
      <c r="AA13" s="2"/>
    </row>
    <row r="14" spans="1:27" x14ac:dyDescent="0.3">
      <c r="A14" s="9">
        <v>6</v>
      </c>
      <c r="B14" s="11">
        <v>5000</v>
      </c>
      <c r="D14" s="45"/>
      <c r="G14" s="18">
        <v>6</v>
      </c>
      <c r="H14" s="15">
        <v>49.521130323410034</v>
      </c>
      <c r="I14" s="2">
        <v>69.528180360794067</v>
      </c>
      <c r="J14" s="2"/>
      <c r="K14" s="2"/>
      <c r="L14" s="2"/>
      <c r="M14" s="2">
        <v>0</v>
      </c>
      <c r="N14" s="2"/>
      <c r="O14" s="2">
        <v>65.725642442703247</v>
      </c>
      <c r="P14" s="2"/>
      <c r="Q14" s="2"/>
      <c r="R14" s="2">
        <v>99.140244722366333</v>
      </c>
      <c r="S14" s="2"/>
      <c r="T14" s="2">
        <v>28.138142824172974</v>
      </c>
      <c r="U14" s="2">
        <v>59.643775224685669</v>
      </c>
      <c r="V14" s="2">
        <v>32.239800691604614</v>
      </c>
      <c r="W14" s="2">
        <v>13.94379734992981</v>
      </c>
      <c r="X14" s="2">
        <v>49.335843324661255</v>
      </c>
      <c r="Y14" s="2"/>
      <c r="Z14" s="2"/>
      <c r="AA14" s="2"/>
    </row>
    <row r="15" spans="1:27" x14ac:dyDescent="0.3">
      <c r="A15" s="9">
        <v>7</v>
      </c>
      <c r="B15" s="11">
        <v>4300</v>
      </c>
      <c r="D15" s="45"/>
      <c r="G15" s="18">
        <v>7</v>
      </c>
      <c r="H15" s="15">
        <v>11.547011137008667</v>
      </c>
      <c r="I15" s="2"/>
      <c r="J15" s="2"/>
      <c r="K15" s="2">
        <v>21.673351526260376</v>
      </c>
      <c r="L15" s="2"/>
      <c r="M15" s="2"/>
      <c r="N15" s="2">
        <v>0</v>
      </c>
      <c r="O15" s="2">
        <v>69.299453496932983</v>
      </c>
      <c r="P15" s="2">
        <v>21.800035238265991</v>
      </c>
      <c r="Q15" s="2"/>
      <c r="R15" s="2">
        <v>0.40196776390075684</v>
      </c>
      <c r="S15" s="2"/>
      <c r="T15" s="2">
        <v>1.4221131801605225</v>
      </c>
      <c r="U15" s="2"/>
      <c r="V15" s="2"/>
      <c r="W15" s="2"/>
      <c r="X15" s="2">
        <v>59.779542684555054</v>
      </c>
      <c r="Y15" s="2">
        <v>70.240634679794312</v>
      </c>
      <c r="Z15" s="2"/>
      <c r="AA15" s="2">
        <v>89.910072088241577</v>
      </c>
    </row>
    <row r="16" spans="1:27" x14ac:dyDescent="0.3">
      <c r="A16" s="9">
        <v>8</v>
      </c>
      <c r="B16" s="11">
        <v>2000</v>
      </c>
      <c r="D16" s="45"/>
      <c r="G16" s="18">
        <v>8</v>
      </c>
      <c r="H16" s="15">
        <v>21.77998423576355</v>
      </c>
      <c r="I16" s="2">
        <v>39.584428071975708</v>
      </c>
      <c r="J16" s="2">
        <v>50.337117910385132</v>
      </c>
      <c r="K16" s="2"/>
      <c r="L16" s="2"/>
      <c r="M16" s="2">
        <v>65.725642442703247</v>
      </c>
      <c r="N16" s="2">
        <v>69.299453496932983</v>
      </c>
      <c r="O16" s="2">
        <v>0</v>
      </c>
      <c r="P16" s="2"/>
      <c r="Q16" s="2">
        <v>57.486492395401001</v>
      </c>
      <c r="R16" s="2"/>
      <c r="S16" s="2"/>
      <c r="T16" s="2"/>
      <c r="U16" s="2">
        <v>57.587391138076782</v>
      </c>
      <c r="V16" s="2"/>
      <c r="W16" s="2">
        <v>64.092308282852173</v>
      </c>
      <c r="X16" s="2">
        <v>31.824594736099243</v>
      </c>
      <c r="Y16" s="2">
        <v>42.087703943252563</v>
      </c>
      <c r="Z16" s="2"/>
      <c r="AA16" s="2"/>
    </row>
    <row r="17" spans="1:28" x14ac:dyDescent="0.3">
      <c r="A17" s="9">
        <v>9</v>
      </c>
      <c r="B17" s="11">
        <v>1180</v>
      </c>
      <c r="D17" s="45"/>
      <c r="G17" s="18">
        <v>9</v>
      </c>
      <c r="H17" s="15">
        <v>50.972002744674683</v>
      </c>
      <c r="I17" s="2">
        <v>10.613375902175903</v>
      </c>
      <c r="J17" s="2"/>
      <c r="K17" s="2">
        <v>49.796921014785767</v>
      </c>
      <c r="L17" s="2">
        <v>89.661663770675659</v>
      </c>
      <c r="M17" s="2"/>
      <c r="N17" s="2">
        <v>21.800035238265991</v>
      </c>
      <c r="O17" s="2"/>
      <c r="P17" s="2">
        <v>0</v>
      </c>
      <c r="Q17" s="2">
        <v>86.016243696212769</v>
      </c>
      <c r="R17" s="2"/>
      <c r="S17" s="2">
        <v>98.942822217941284</v>
      </c>
      <c r="T17" s="2"/>
      <c r="U17" s="2">
        <v>73.2524573802948</v>
      </c>
      <c r="V17" s="2"/>
      <c r="W17" s="2">
        <v>18.710774183273315</v>
      </c>
      <c r="X17" s="2"/>
      <c r="Y17" s="2">
        <v>70.083397626876831</v>
      </c>
      <c r="Z17" s="2">
        <v>7.8752696514129639</v>
      </c>
      <c r="AA17" s="2"/>
    </row>
    <row r="18" spans="1:28" x14ac:dyDescent="0.3">
      <c r="A18" s="9">
        <v>10</v>
      </c>
      <c r="B18" s="11">
        <v>3500</v>
      </c>
      <c r="D18" s="45"/>
      <c r="G18" s="18">
        <v>10</v>
      </c>
      <c r="H18" s="15"/>
      <c r="I18" s="2"/>
      <c r="J18" s="2"/>
      <c r="K18" s="2">
        <v>95.623689889907837</v>
      </c>
      <c r="L18" s="2">
        <v>93.997114896774292</v>
      </c>
      <c r="M18" s="2"/>
      <c r="N18" s="2"/>
      <c r="O18" s="2">
        <v>57.486492395401001</v>
      </c>
      <c r="P18" s="2">
        <v>86.016243696212769</v>
      </c>
      <c r="Q18" s="2">
        <v>0</v>
      </c>
      <c r="R18" s="2">
        <v>17.688685655593872</v>
      </c>
      <c r="S18" s="2"/>
      <c r="T18" s="2"/>
      <c r="U18" s="2">
        <v>5.961686372756958</v>
      </c>
      <c r="V18" s="2"/>
      <c r="W18" s="2"/>
      <c r="X18" s="2"/>
      <c r="Y18" s="2"/>
      <c r="Z18" s="2">
        <v>15.320903062820435</v>
      </c>
      <c r="AA18" s="2">
        <v>65.09283185005188</v>
      </c>
    </row>
    <row r="19" spans="1:28" x14ac:dyDescent="0.3">
      <c r="A19" s="9">
        <v>11</v>
      </c>
      <c r="B19" s="11">
        <v>5600</v>
      </c>
      <c r="D19" s="45"/>
      <c r="G19" s="18">
        <v>11</v>
      </c>
      <c r="H19" s="15">
        <v>19.553488492965698</v>
      </c>
      <c r="I19" s="2">
        <v>41.323310136795044</v>
      </c>
      <c r="J19" s="2">
        <v>61.983150243759155</v>
      </c>
      <c r="K19" s="2"/>
      <c r="L19" s="2">
        <v>50.445908308029175</v>
      </c>
      <c r="M19" s="2">
        <v>99.140244722366333</v>
      </c>
      <c r="N19" s="2">
        <v>0.40196776390075684</v>
      </c>
      <c r="O19" s="2"/>
      <c r="P19" s="2"/>
      <c r="Q19" s="2">
        <v>17.688685655593872</v>
      </c>
      <c r="R19" s="2">
        <v>0</v>
      </c>
      <c r="S19" s="2">
        <v>1.6988694667816162</v>
      </c>
      <c r="T19" s="2"/>
      <c r="U19" s="2"/>
      <c r="V19" s="2"/>
      <c r="W19" s="2">
        <v>38.059228658676147</v>
      </c>
      <c r="X19" s="2"/>
      <c r="Y19" s="2">
        <v>4.3198525905609131</v>
      </c>
      <c r="Z19" s="2"/>
      <c r="AA19" s="2"/>
    </row>
    <row r="20" spans="1:28" x14ac:dyDescent="0.3">
      <c r="A20" s="9">
        <v>12</v>
      </c>
      <c r="B20" s="11">
        <v>3200</v>
      </c>
      <c r="D20" s="45"/>
      <c r="G20" s="18">
        <v>12</v>
      </c>
      <c r="H20" s="15">
        <v>20.759361982345581</v>
      </c>
      <c r="I20" s="2">
        <v>57.351952791213989</v>
      </c>
      <c r="J20" s="2">
        <v>52.822965383529663</v>
      </c>
      <c r="K20" s="2">
        <v>57.301336526870728</v>
      </c>
      <c r="L20" s="2">
        <v>54.759997129440308</v>
      </c>
      <c r="M20" s="2"/>
      <c r="N20" s="2"/>
      <c r="O20" s="2"/>
      <c r="P20" s="2">
        <v>98.942822217941284</v>
      </c>
      <c r="Q20" s="2"/>
      <c r="R20" s="2">
        <v>1.6988694667816162</v>
      </c>
      <c r="S20" s="2">
        <v>0</v>
      </c>
      <c r="T20" s="2"/>
      <c r="U20" s="2"/>
      <c r="V20" s="2">
        <v>73.083359003067017</v>
      </c>
      <c r="W20" s="2"/>
      <c r="X20" s="2">
        <v>60.685688257217407</v>
      </c>
      <c r="Y20" s="2"/>
      <c r="Z20" s="2"/>
      <c r="AA20" s="2"/>
    </row>
    <row r="21" spans="1:28" x14ac:dyDescent="0.3">
      <c r="A21" s="9">
        <v>13</v>
      </c>
      <c r="B21" s="11">
        <v>3300</v>
      </c>
      <c r="D21" s="45"/>
      <c r="G21" s="18">
        <v>13</v>
      </c>
      <c r="H21" s="15"/>
      <c r="I21" s="2"/>
      <c r="J21" s="2">
        <v>74.853271245956421</v>
      </c>
      <c r="K21" s="2">
        <v>90.437370538711548</v>
      </c>
      <c r="L21" s="2"/>
      <c r="M21" s="2">
        <v>28.138142824172974</v>
      </c>
      <c r="N21" s="2">
        <v>1.4221131801605225</v>
      </c>
      <c r="O21" s="2"/>
      <c r="P21" s="2"/>
      <c r="Q21" s="2"/>
      <c r="R21" s="2"/>
      <c r="S21" s="2"/>
      <c r="T21" s="2">
        <v>0</v>
      </c>
      <c r="U21" s="2">
        <v>79.146403074264526</v>
      </c>
      <c r="V21" s="2">
        <v>77.364605665206909</v>
      </c>
      <c r="W21" s="2"/>
      <c r="X21" s="2">
        <v>90.199631452560425</v>
      </c>
      <c r="Y21" s="2">
        <v>82.257860898971558</v>
      </c>
      <c r="Z21" s="2"/>
      <c r="AA21" s="2">
        <v>36.728018522262573</v>
      </c>
    </row>
    <row r="22" spans="1:28" x14ac:dyDescent="0.3">
      <c r="A22" s="9">
        <v>14</v>
      </c>
      <c r="B22" s="11">
        <v>3000</v>
      </c>
      <c r="D22" s="45"/>
      <c r="G22" s="18">
        <v>14</v>
      </c>
      <c r="H22" s="15"/>
      <c r="I22" s="2"/>
      <c r="J22" s="2">
        <v>4.2947709560394287</v>
      </c>
      <c r="K22" s="2">
        <v>5.8991491794586182</v>
      </c>
      <c r="L22" s="2"/>
      <c r="M22" s="2">
        <v>59.643775224685669</v>
      </c>
      <c r="N22" s="2"/>
      <c r="O22" s="2">
        <v>57.587391138076782</v>
      </c>
      <c r="P22" s="2">
        <v>73.2524573802948</v>
      </c>
      <c r="Q22" s="2">
        <v>5.961686372756958</v>
      </c>
      <c r="R22" s="2"/>
      <c r="S22" s="2"/>
      <c r="T22" s="2">
        <v>79.146403074264526</v>
      </c>
      <c r="U22" s="2">
        <v>0</v>
      </c>
      <c r="V22" s="2"/>
      <c r="W22" s="2">
        <v>89.949065446853638</v>
      </c>
      <c r="X22" s="2"/>
      <c r="Y22" s="2"/>
      <c r="Z22" s="2">
        <v>38.753682374954224</v>
      </c>
      <c r="AA22" s="2">
        <v>50.581580400466919</v>
      </c>
    </row>
    <row r="23" spans="1:28" x14ac:dyDescent="0.3">
      <c r="A23" s="9">
        <v>15</v>
      </c>
      <c r="B23" s="11">
        <v>1600</v>
      </c>
      <c r="D23" s="45"/>
      <c r="G23" s="18">
        <v>15</v>
      </c>
      <c r="H23" s="15"/>
      <c r="I23" s="2">
        <v>4.0310204029083252</v>
      </c>
      <c r="J23" s="2">
        <v>56.430667638778687</v>
      </c>
      <c r="K23" s="2"/>
      <c r="L23" s="2">
        <v>73.351067304611206</v>
      </c>
      <c r="M23" s="2">
        <v>32.239800691604614</v>
      </c>
      <c r="N23" s="2"/>
      <c r="O23" s="2"/>
      <c r="P23" s="2"/>
      <c r="Q23" s="2"/>
      <c r="R23" s="2"/>
      <c r="S23" s="2">
        <v>73.083359003067017</v>
      </c>
      <c r="T23" s="2">
        <v>77.364605665206909</v>
      </c>
      <c r="U23" s="2"/>
      <c r="V23" s="2">
        <v>0</v>
      </c>
      <c r="W23" s="2">
        <v>11.724323034286499</v>
      </c>
      <c r="X23" s="2"/>
      <c r="Y23" s="2">
        <v>82.834190130233765</v>
      </c>
      <c r="Z23" s="2">
        <v>25.086969137191772</v>
      </c>
      <c r="AA23" s="2">
        <v>37.49508261680603</v>
      </c>
    </row>
    <row r="24" spans="1:28" x14ac:dyDescent="0.3">
      <c r="A24" s="9">
        <v>16</v>
      </c>
      <c r="B24" s="11">
        <v>1800</v>
      </c>
      <c r="D24" s="45"/>
      <c r="G24" s="18">
        <v>16</v>
      </c>
      <c r="H24" s="15"/>
      <c r="I24" s="2">
        <v>89.597016572952271</v>
      </c>
      <c r="J24" s="2"/>
      <c r="K24" s="2">
        <v>35.557752847671509</v>
      </c>
      <c r="L24" s="2"/>
      <c r="M24" s="2">
        <v>13.94379734992981</v>
      </c>
      <c r="N24" s="2"/>
      <c r="O24" s="2">
        <v>64.092308282852173</v>
      </c>
      <c r="P24" s="2">
        <v>18.710774183273315</v>
      </c>
      <c r="Q24" s="2"/>
      <c r="R24" s="2">
        <v>38.059228658676147</v>
      </c>
      <c r="S24" s="2"/>
      <c r="T24" s="2"/>
      <c r="U24" s="2">
        <v>89.949065446853638</v>
      </c>
      <c r="V24" s="2">
        <v>11.724323034286499</v>
      </c>
      <c r="W24" s="2">
        <v>0</v>
      </c>
      <c r="X24" s="2"/>
      <c r="Y24" s="2">
        <v>46.250015497207642</v>
      </c>
      <c r="Z24" s="2"/>
      <c r="AA24" s="2"/>
    </row>
    <row r="25" spans="1:28" x14ac:dyDescent="0.3">
      <c r="A25" s="9">
        <v>17</v>
      </c>
      <c r="B25" s="11">
        <v>5400</v>
      </c>
      <c r="D25" s="45"/>
      <c r="G25" s="18">
        <v>17</v>
      </c>
      <c r="H25" s="15">
        <v>97.893160581588745</v>
      </c>
      <c r="I25" s="2">
        <v>61.810046434402466</v>
      </c>
      <c r="J25" s="2">
        <v>85.230964422225952</v>
      </c>
      <c r="K25" s="2">
        <v>79.539734125137329</v>
      </c>
      <c r="L25" s="2">
        <v>30.003231763839722</v>
      </c>
      <c r="M25" s="2">
        <v>49.335843324661255</v>
      </c>
      <c r="N25" s="2">
        <v>59.779542684555054</v>
      </c>
      <c r="O25" s="2">
        <v>31.824594736099243</v>
      </c>
      <c r="P25" s="2"/>
      <c r="Q25" s="2"/>
      <c r="R25" s="2"/>
      <c r="S25" s="2">
        <v>60.685688257217407</v>
      </c>
      <c r="T25" s="2">
        <v>90.199631452560425</v>
      </c>
      <c r="U25" s="2"/>
      <c r="V25" s="2"/>
      <c r="W25" s="2"/>
      <c r="X25" s="2">
        <v>0</v>
      </c>
      <c r="Y25" s="2"/>
      <c r="Z25" s="2">
        <v>31.191176176071167</v>
      </c>
      <c r="AA25" s="2"/>
    </row>
    <row r="26" spans="1:28" x14ac:dyDescent="0.3">
      <c r="A26" s="9">
        <v>18</v>
      </c>
      <c r="B26" s="11">
        <v>4500</v>
      </c>
      <c r="D26" s="45"/>
      <c r="G26" s="18">
        <v>18</v>
      </c>
      <c r="H26" s="15"/>
      <c r="I26" s="2">
        <v>46.500188112258911</v>
      </c>
      <c r="J26" s="2">
        <v>37.77427077293396</v>
      </c>
      <c r="K26" s="2">
        <v>65.417772531509399</v>
      </c>
      <c r="L26" s="2">
        <v>19.800108671188354</v>
      </c>
      <c r="M26" s="2"/>
      <c r="N26" s="2">
        <v>70.240634679794312</v>
      </c>
      <c r="O26" s="2">
        <v>42.087703943252563</v>
      </c>
      <c r="P26" s="2">
        <v>70.083397626876831</v>
      </c>
      <c r="Q26" s="2"/>
      <c r="R26" s="2">
        <v>4.3198525905609131</v>
      </c>
      <c r="S26" s="2"/>
      <c r="T26" s="2">
        <v>82.257860898971558</v>
      </c>
      <c r="U26" s="2"/>
      <c r="V26" s="2">
        <v>82.834190130233765</v>
      </c>
      <c r="W26" s="2">
        <v>46.250015497207642</v>
      </c>
      <c r="X26" s="2"/>
      <c r="Y26" s="2">
        <v>0</v>
      </c>
      <c r="Z26" s="2">
        <v>87.859374284744263</v>
      </c>
      <c r="AA26" s="2"/>
    </row>
    <row r="27" spans="1:28" x14ac:dyDescent="0.3">
      <c r="A27" s="9">
        <v>19</v>
      </c>
      <c r="B27" s="11">
        <v>3800</v>
      </c>
      <c r="D27" s="45"/>
      <c r="G27" s="18">
        <v>19</v>
      </c>
      <c r="H27" s="15">
        <v>5.7568728923797607</v>
      </c>
      <c r="I27" s="2">
        <v>96.060019731521606</v>
      </c>
      <c r="J27" s="2">
        <v>64.769786596298218</v>
      </c>
      <c r="K27" s="2">
        <v>36.99069619178772</v>
      </c>
      <c r="L27" s="2">
        <v>21.475952863693237</v>
      </c>
      <c r="M27" s="2"/>
      <c r="N27" s="2"/>
      <c r="O27" s="2"/>
      <c r="P27" s="2">
        <v>7.8752696514129639</v>
      </c>
      <c r="Q27" s="2">
        <v>15.320903062820435</v>
      </c>
      <c r="R27" s="2"/>
      <c r="S27" s="2"/>
      <c r="T27" s="2"/>
      <c r="U27" s="2">
        <v>38.753682374954224</v>
      </c>
      <c r="V27" s="2">
        <v>25.086969137191772</v>
      </c>
      <c r="W27" s="2"/>
      <c r="X27" s="2">
        <v>31.191176176071167</v>
      </c>
      <c r="Y27" s="2">
        <v>87.859374284744263</v>
      </c>
      <c r="Z27" s="2">
        <v>0</v>
      </c>
      <c r="AA27" s="2"/>
    </row>
    <row r="28" spans="1:28" ht="15" thickBot="1" x14ac:dyDescent="0.35">
      <c r="A28" s="9">
        <v>20</v>
      </c>
      <c r="B28" s="11">
        <v>4000</v>
      </c>
      <c r="D28" s="45"/>
      <c r="G28" s="19">
        <v>20</v>
      </c>
      <c r="H28" s="15">
        <v>85.002297163009644</v>
      </c>
      <c r="I28" s="2"/>
      <c r="J28" s="2"/>
      <c r="K28" s="2"/>
      <c r="L28" s="2"/>
      <c r="M28" s="2"/>
      <c r="N28" s="2">
        <v>89.910072088241577</v>
      </c>
      <c r="O28" s="2"/>
      <c r="P28" s="2"/>
      <c r="Q28" s="2">
        <v>65.09283185005188</v>
      </c>
      <c r="R28" s="2"/>
      <c r="S28" s="2"/>
      <c r="T28" s="2">
        <v>36.728018522262573</v>
      </c>
      <c r="U28" s="2">
        <v>50.581580400466919</v>
      </c>
      <c r="V28" s="2">
        <v>37.49508261680603</v>
      </c>
      <c r="W28" s="2"/>
      <c r="X28" s="2"/>
      <c r="Y28" s="2"/>
      <c r="Z28" s="2"/>
      <c r="AA28" s="2">
        <v>0</v>
      </c>
    </row>
    <row r="29" spans="1:28" x14ac:dyDescent="0.3">
      <c r="A29" s="1" t="s">
        <v>7</v>
      </c>
      <c r="B29" s="32">
        <f>SUM(B9:B28)</f>
        <v>69980</v>
      </c>
      <c r="D29" s="33"/>
      <c r="AB29" s="32">
        <f>SUM(H9:AA28)</f>
        <v>9861.5754008293152</v>
      </c>
    </row>
    <row r="31" spans="1:28" ht="15" thickBot="1" x14ac:dyDescent="0.35"/>
    <row r="32" spans="1:28" ht="15" thickBot="1" x14ac:dyDescent="0.35">
      <c r="A32" s="41" t="s">
        <v>24</v>
      </c>
      <c r="B32" s="42"/>
      <c r="C32" s="43">
        <v>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param</vt:lpstr>
      <vt:lpstr>Matr</vt:lpstr>
      <vt:lpstr>generator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</dc:creator>
  <cp:lastModifiedBy>Макс Тер</cp:lastModifiedBy>
  <cp:lastPrinted>2019-01-25T08:59:39Z</cp:lastPrinted>
  <dcterms:created xsi:type="dcterms:W3CDTF">2017-09-26T07:27:19Z</dcterms:created>
  <dcterms:modified xsi:type="dcterms:W3CDTF">2025-11-27T11:28:33Z</dcterms:modified>
</cp:coreProperties>
</file>